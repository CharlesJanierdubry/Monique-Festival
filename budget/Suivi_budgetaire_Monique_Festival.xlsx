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310" yWindow="-21720" windowWidth="51840" windowHeight="21120" tabRatio="600" firstSheet="0" activeTab="6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rowdfunding" sheetId="2" state="visible" r:id="rId2"/>
    <sheet xmlns:r="http://schemas.openxmlformats.org/officeDocument/2006/relationships" name="Billetterie" sheetId="3" state="visible" r:id="rId3"/>
    <sheet xmlns:r="http://schemas.openxmlformats.org/officeDocument/2006/relationships" name="F&amp;B" sheetId="4" state="visible" r:id="rId4"/>
    <sheet xmlns:r="http://schemas.openxmlformats.org/officeDocument/2006/relationships" name="Ateliers" sheetId="5" state="visible" r:id="rId5"/>
    <sheet xmlns:r="http://schemas.openxmlformats.org/officeDocument/2006/relationships" name="Artistes" sheetId="6" state="visible" r:id="rId6"/>
    <sheet xmlns:r="http://schemas.openxmlformats.org/officeDocument/2006/relationships" name="Logistique" sheetId="7" state="visible" r:id="rId7"/>
    <sheet xmlns:r="http://schemas.openxmlformats.org/officeDocument/2006/relationships" name="Frais divers" sheetId="8" state="visible" r:id="rId8"/>
    <sheet xmlns:r="http://schemas.openxmlformats.org/officeDocument/2006/relationships" name="Trésoreri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\ \€"/>
    <numFmt numFmtId="165" formatCode="_-* #,##0.00\ &quot;€&quot;_-;\-* #,##0.00\ &quot;€&quot;_-;_-* &quot;-&quot;??\ &quot;€&quot;_-;_-@_-"/>
    <numFmt numFmtId="166" formatCode="_-* #,##0\ &quot;€&quot;_-;\-* #,##0\ &quot;€&quot;_-;_-* &quot;-&quot;??\ &quot;€&quot;_-;_-@_-"/>
  </numFmts>
  <fonts count="24">
    <font>
      <name val="Calibri"/>
      <family val="2"/>
      <color theme="1"/>
      <sz val="11"/>
      <scheme val="minor"/>
    </font>
    <font>
      <name val="Calibri"/>
      <b val="1"/>
      <color rgb="FF2F5496"/>
      <sz val="12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family val="2"/>
      <b val="1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0"/>
    </font>
    <font>
      <name val="Calibri"/>
      <b val="1"/>
      <sz val="11"/>
    </font>
    <font>
      <name val="Calibri"/>
      <i val="1"/>
      <sz val="9"/>
    </font>
    <font>
      <name val="Calibri"/>
      <i val="1"/>
      <color rgb="FF1F4E78"/>
      <sz val="11"/>
    </font>
    <font>
      <name val="Calibri"/>
      <i val="1"/>
      <color rgb="FF666666"/>
      <sz val="9"/>
    </font>
    <font>
      <name val="Calibri"/>
      <b val="1"/>
      <color rgb="FFFFFFFF"/>
      <sz val="12"/>
    </font>
    <font>
      <name val="Calibri"/>
      <i val="1"/>
      <color rgb="FF666666"/>
      <sz val="10"/>
    </font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10"/>
    </font>
    <font>
      <b val="1"/>
      <sz val="11"/>
    </font>
    <font>
      <i val="1"/>
      <sz val="9"/>
    </font>
    <font>
      <b val="1"/>
      <color rgb="00FFFFFF"/>
      <sz val="11"/>
    </font>
    <font>
      <b val="1"/>
      <color rgb="00FFFFFF"/>
      <sz val="12"/>
    </font>
    <font>
      <i val="1"/>
      <color rgb="00666666"/>
      <sz val="10"/>
    </font>
    <font>
      <i val="1"/>
      <color rgb="00666666"/>
      <sz val="9"/>
    </font>
  </fonts>
  <fills count="30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E2EFDA"/>
        <bgColor rgb="FFE2EFDA"/>
      </patternFill>
    </fill>
    <fill>
      <patternFill patternType="solid">
        <fgColor rgb="FFFCE4EC"/>
        <bgColor rgb="FFFCE4EC"/>
      </patternFill>
    </fill>
    <fill>
      <patternFill patternType="solid">
        <fgColor rgb="FF1F4E78"/>
      </patternFill>
    </fill>
    <fill>
      <patternFill patternType="solid">
        <fgColor rgb="FF2E7D32"/>
      </patternFill>
    </fill>
    <fill>
      <patternFill patternType="solid">
        <fgColor rgb="FFEEEEEE"/>
      </patternFill>
    </fill>
    <fill>
      <patternFill patternType="solid">
        <fgColor rgb="FFFFF2CC"/>
      </patternFill>
    </fill>
    <fill>
      <patternFill patternType="solid">
        <fgColor rgb="FF6A1B9A"/>
      </patternFill>
    </fill>
    <fill>
      <patternFill patternType="solid">
        <fgColor rgb="FFEF6C00"/>
      </patternFill>
    </fill>
    <fill>
      <patternFill patternType="solid">
        <fgColor rgb="FFC62828"/>
      </patternFill>
    </fill>
    <fill>
      <patternFill patternType="solid">
        <fgColor rgb="FF0277B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E3F2FD"/>
      </patternFill>
    </fill>
    <fill>
      <patternFill patternType="solid">
        <fgColor rgb="FFFFE0B2"/>
      </patternFill>
    </fill>
    <fill>
      <patternFill patternType="solid">
        <fgColor rgb="FFF3E5F5"/>
      </patternFill>
    </fill>
    <fill>
      <patternFill patternType="solid">
        <fgColor rgb="FFFFCDD2"/>
      </patternFill>
    </fill>
    <fill>
      <patternFill patternType="solid">
        <fgColor rgb="001F4E78"/>
      </patternFill>
    </fill>
    <fill>
      <patternFill patternType="solid">
        <fgColor rgb="00EEEEEE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F2CC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EF6C00"/>
      </patternFill>
    </fill>
    <fill>
      <patternFill patternType="solid">
        <fgColor rgb="00C62828"/>
      </patternFill>
    </fill>
    <fill>
      <patternFill patternType="solid">
        <fgColor rgb="000277BD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2">
    <xf numFmtId="0" fontId="15" fillId="0" borderId="0"/>
    <xf numFmtId="44" fontId="15" fillId="0" borderId="0"/>
  </cellStyleXfs>
  <cellXfs count="121">
    <xf numFmtId="0" fontId="0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164" fontId="0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5" borderId="1" pivotButton="0" quotePrefix="0" xfId="0"/>
    <xf numFmtId="0" fontId="3" fillId="0" borderId="1" pivotButton="0" quotePrefix="0" xfId="0"/>
    <xf numFmtId="164" fontId="3" fillId="0" borderId="1" pivotButton="0" quotePrefix="0" xfId="0"/>
    <xf numFmtId="164" fontId="3" fillId="4" borderId="1" pivotButton="0" quotePrefix="0" xfId="0"/>
    <xf numFmtId="164" fontId="4" fillId="4" borderId="1" pivotButton="0" quotePrefix="0" xfId="0"/>
    <xf numFmtId="14" fontId="0" fillId="0" borderId="1" pivotButton="0" quotePrefix="0" xfId="0"/>
    <xf numFmtId="0" fontId="1" fillId="0" borderId="0" pivotButton="0" quotePrefix="0" xfId="0"/>
    <xf numFmtId="0" fontId="5" fillId="3" borderId="1" pivotButton="0" quotePrefix="0" xfId="0"/>
    <xf numFmtId="0" fontId="8" fillId="8" borderId="2" applyAlignment="1" pivotButton="0" quotePrefix="0" xfId="0">
      <alignment horizontal="center"/>
    </xf>
    <xf numFmtId="0" fontId="0" fillId="0" borderId="2" pivotButton="0" quotePrefix="0" xfId="0"/>
    <xf numFmtId="0" fontId="9" fillId="9" borderId="2" pivotButton="0" quotePrefix="0" xfId="0"/>
    <xf numFmtId="0" fontId="7" fillId="13" borderId="2" pivotButton="0" quotePrefix="0" xfId="0"/>
    <xf numFmtId="0" fontId="8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12" borderId="2" pivotButton="0" quotePrefix="0" xfId="0"/>
    <xf numFmtId="0" fontId="13" fillId="12" borderId="2" pivotButton="0" quotePrefix="0" xfId="0"/>
    <xf numFmtId="0" fontId="12" fillId="0" borderId="2" pivotButton="0" quotePrefix="0" xfId="0"/>
    <xf numFmtId="0" fontId="0" fillId="14" borderId="2" pivotButton="0" quotePrefix="0" xfId="0"/>
    <xf numFmtId="0" fontId="0" fillId="15" borderId="2" pivotButton="0" quotePrefix="0" xfId="0"/>
    <xf numFmtId="0" fontId="0" fillId="16" borderId="2" pivotButton="0" quotePrefix="0" xfId="0"/>
    <xf numFmtId="0" fontId="13" fillId="7" borderId="2" pivotButton="0" quotePrefix="0" xfId="0"/>
    <xf numFmtId="0" fontId="0" fillId="17" borderId="2" pivotButton="0" quotePrefix="0" xfId="0"/>
    <xf numFmtId="0" fontId="0" fillId="18" borderId="2" pivotButton="0" quotePrefix="0" xfId="0"/>
    <xf numFmtId="0" fontId="0" fillId="19" borderId="2" pivotButton="0" quotePrefix="0" xfId="0"/>
    <xf numFmtId="0" fontId="9" fillId="18" borderId="2" pivotButton="0" quotePrefix="0" xfId="0"/>
    <xf numFmtId="0" fontId="9" fillId="17" borderId="2" pivotButton="0" quotePrefix="0" xfId="0"/>
    <xf numFmtId="0" fontId="9" fillId="19" borderId="2" pivotButton="0" quotePrefix="0" xfId="0"/>
    <xf numFmtId="0" fontId="1" fillId="0" borderId="0" pivotButton="0" quotePrefix="0" xfId="0"/>
    <xf numFmtId="0" fontId="0" fillId="0" borderId="0" pivotButton="0" quotePrefix="0" xfId="0"/>
    <xf numFmtId="0" fontId="7" fillId="13" borderId="0" applyAlignment="1" pivotButton="0" quotePrefix="0" xfId="0">
      <alignment horizontal="center"/>
    </xf>
    <xf numFmtId="0" fontId="6" fillId="6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center"/>
    </xf>
    <xf numFmtId="0" fontId="7" fillId="12" borderId="0" applyAlignment="1" pivotButton="0" quotePrefix="0" xfId="0">
      <alignment horizontal="center"/>
    </xf>
    <xf numFmtId="0" fontId="13" fillId="12" borderId="2" applyAlignment="1" pivotButton="0" quotePrefix="0" xfId="0">
      <alignment horizontal="center"/>
    </xf>
    <xf numFmtId="0" fontId="0" fillId="12" borderId="2" pivotButton="0" quotePrefix="0" xfId="0"/>
    <xf numFmtId="0" fontId="7" fillId="10" borderId="0" applyAlignment="1" pivotButton="0" quotePrefix="0" xfId="0">
      <alignment horizontal="center"/>
    </xf>
    <xf numFmtId="0" fontId="14" fillId="8" borderId="0" applyAlignment="1" pivotButton="0" quotePrefix="0" xfId="0">
      <alignment horizontal="center"/>
    </xf>
    <xf numFmtId="0" fontId="7" fillId="11" borderId="0" applyAlignment="1" pivotButton="0" quotePrefix="0" xfId="0">
      <alignment horizontal="center"/>
    </xf>
    <xf numFmtId="165" fontId="8" fillId="8" borderId="2" applyAlignment="1" pivotButton="0" quotePrefix="0" xfId="1">
      <alignment horizontal="center"/>
    </xf>
    <xf numFmtId="165" fontId="0" fillId="14" borderId="2" pivotButton="0" quotePrefix="0" xfId="1"/>
    <xf numFmtId="165" fontId="9" fillId="9" borderId="2" pivotButton="0" quotePrefix="0" xfId="1"/>
    <xf numFmtId="165" fontId="0" fillId="15" borderId="2" pivotButton="0" quotePrefix="0" xfId="1"/>
    <xf numFmtId="165" fontId="0" fillId="16" borderId="2" pivotButton="0" quotePrefix="0" xfId="1"/>
    <xf numFmtId="165" fontId="13" fillId="7" borderId="2" pivotButton="0" quotePrefix="0" xfId="1"/>
    <xf numFmtId="165" fontId="0" fillId="17" borderId="2" pivotButton="0" quotePrefix="0" xfId="1"/>
    <xf numFmtId="165" fontId="0" fillId="18" borderId="2" pivotButton="0" quotePrefix="0" xfId="1"/>
    <xf numFmtId="165" fontId="0" fillId="19" borderId="2" pivotButton="0" quotePrefix="0" xfId="1"/>
    <xf numFmtId="165" fontId="9" fillId="18" borderId="2" pivotButton="0" quotePrefix="0" xfId="1"/>
    <xf numFmtId="165" fontId="9" fillId="17" borderId="2" pivotButton="0" quotePrefix="0" xfId="1"/>
    <xf numFmtId="165" fontId="9" fillId="19" borderId="2" pivotButton="0" quotePrefix="0" xfId="1"/>
    <xf numFmtId="165" fontId="13" fillId="12" borderId="2" pivotButton="0" quotePrefix="0" xfId="1"/>
    <xf numFmtId="165" fontId="7" fillId="13" borderId="2" pivotButton="0" quotePrefix="0" xfId="1"/>
    <xf numFmtId="165" fontId="0" fillId="0" borderId="0" pivotButton="0" quotePrefix="0" xfId="1"/>
    <xf numFmtId="166" fontId="8" fillId="8" borderId="2" applyAlignment="1" pivotButton="0" quotePrefix="0" xfId="1">
      <alignment horizontal="center"/>
    </xf>
    <xf numFmtId="166" fontId="0" fillId="14" borderId="2" pivotButton="0" quotePrefix="0" xfId="1"/>
    <xf numFmtId="166" fontId="9" fillId="9" borderId="2" pivotButton="0" quotePrefix="0" xfId="1"/>
    <xf numFmtId="166" fontId="0" fillId="15" borderId="2" pivotButton="0" quotePrefix="0" xfId="1"/>
    <xf numFmtId="166" fontId="0" fillId="16" borderId="2" pivotButton="0" quotePrefix="0" xfId="1"/>
    <xf numFmtId="166" fontId="13" fillId="7" borderId="2" pivotButton="0" quotePrefix="0" xfId="1"/>
    <xf numFmtId="166" fontId="0" fillId="17" borderId="2" pivotButton="0" quotePrefix="0" xfId="1"/>
    <xf numFmtId="166" fontId="0" fillId="18" borderId="2" pivotButton="0" quotePrefix="0" xfId="1"/>
    <xf numFmtId="166" fontId="0" fillId="19" borderId="2" pivotButton="0" quotePrefix="0" xfId="1"/>
    <xf numFmtId="166" fontId="9" fillId="18" borderId="2" pivotButton="0" quotePrefix="0" xfId="1"/>
    <xf numFmtId="166" fontId="9" fillId="17" borderId="2" pivotButton="0" quotePrefix="0" xfId="1"/>
    <xf numFmtId="166" fontId="9" fillId="19" borderId="2" pivotButton="0" quotePrefix="0" xfId="1"/>
    <xf numFmtId="166" fontId="13" fillId="12" borderId="2" pivotButton="0" quotePrefix="0" xfId="1"/>
    <xf numFmtId="166" fontId="7" fillId="13" borderId="2" pivotButton="0" quotePrefix="0" xfId="1"/>
    <xf numFmtId="166" fontId="0" fillId="0" borderId="0" pivotButton="0" quotePrefix="0" xfId="1"/>
    <xf numFmtId="166" fontId="0" fillId="0" borderId="2" pivotButton="0" quotePrefix="0" xfId="1"/>
    <xf numFmtId="166" fontId="0" fillId="12" borderId="2" pivotButton="0" quotePrefix="0" xfId="1"/>
    <xf numFmtId="166" fontId="12" fillId="0" borderId="2" pivotButton="0" quotePrefix="0" xfId="1"/>
    <xf numFmtId="165" fontId="0" fillId="0" borderId="0" pivotButton="0" quotePrefix="0" xfId="1"/>
    <xf numFmtId="165" fontId="8" fillId="8" borderId="2" applyAlignment="1" pivotButton="0" quotePrefix="0" xfId="1">
      <alignment horizontal="center"/>
    </xf>
    <xf numFmtId="165" fontId="0" fillId="14" borderId="2" pivotButton="0" quotePrefix="0" xfId="1"/>
    <xf numFmtId="165" fontId="9" fillId="9" borderId="2" pivotButton="0" quotePrefix="0" xfId="1"/>
    <xf numFmtId="165" fontId="0" fillId="15" borderId="2" pivotButton="0" quotePrefix="0" xfId="1"/>
    <xf numFmtId="165" fontId="0" fillId="16" borderId="2" pivotButton="0" quotePrefix="0" xfId="1"/>
    <xf numFmtId="165" fontId="13" fillId="7" borderId="2" pivotButton="0" quotePrefix="0" xfId="1"/>
    <xf numFmtId="165" fontId="0" fillId="17" borderId="2" pivotButton="0" quotePrefix="0" xfId="1"/>
    <xf numFmtId="165" fontId="0" fillId="18" borderId="2" pivotButton="0" quotePrefix="0" xfId="1"/>
    <xf numFmtId="165" fontId="0" fillId="19" borderId="2" pivotButton="0" quotePrefix="0" xfId="1"/>
    <xf numFmtId="165" fontId="9" fillId="18" borderId="2" pivotButton="0" quotePrefix="0" xfId="1"/>
    <xf numFmtId="165" fontId="9" fillId="17" borderId="2" pivotButton="0" quotePrefix="0" xfId="1"/>
    <xf numFmtId="165" fontId="9" fillId="19" borderId="2" pivotButton="0" quotePrefix="0" xfId="1"/>
    <xf numFmtId="165" fontId="13" fillId="12" borderId="2" pivotButton="0" quotePrefix="0" xfId="1"/>
    <xf numFmtId="165" fontId="7" fillId="13" borderId="2" pivotButton="0" quotePrefix="0" xfId="1"/>
    <xf numFmtId="0" fontId="16" fillId="20" borderId="0" applyAlignment="1" pivotButton="0" quotePrefix="0" xfId="0">
      <alignment horizontal="center" vertical="center"/>
    </xf>
    <xf numFmtId="0" fontId="17" fillId="21" borderId="7" applyAlignment="1" pivotButton="0" quotePrefix="0" xfId="0">
      <alignment horizontal="center" vertical="center" wrapText="1"/>
    </xf>
    <xf numFmtId="0" fontId="0" fillId="22" borderId="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23" borderId="7" applyAlignment="1" pivotButton="0" quotePrefix="0" xfId="0">
      <alignment vertical="center" wrapText="1"/>
    </xf>
    <xf numFmtId="0" fontId="18" fillId="24" borderId="7" pivotButton="0" quotePrefix="0" xfId="0"/>
    <xf numFmtId="0" fontId="18" fillId="23" borderId="7" pivotButton="0" quotePrefix="0" xfId="0"/>
    <xf numFmtId="0" fontId="19" fillId="0" borderId="0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20" fillId="25" borderId="0" applyAlignment="1" pivotButton="0" quotePrefix="0" xfId="0">
      <alignment horizontal="center"/>
    </xf>
    <xf numFmtId="0" fontId="17" fillId="21" borderId="7" applyAlignment="1" pivotButton="0" quotePrefix="0" xfId="0">
      <alignment horizontal="center"/>
    </xf>
    <xf numFmtId="0" fontId="0" fillId="0" borderId="7" pivotButton="0" quotePrefix="0" xfId="0"/>
    <xf numFmtId="0" fontId="20" fillId="26" borderId="0" applyAlignment="1" pivotButton="0" quotePrefix="0" xfId="0">
      <alignment horizontal="center"/>
    </xf>
    <xf numFmtId="0" fontId="20" fillId="27" borderId="0" applyAlignment="1" pivotButton="0" quotePrefix="0" xfId="0">
      <alignment horizontal="center"/>
    </xf>
    <xf numFmtId="0" fontId="20" fillId="28" borderId="0" applyAlignment="1" pivotButton="0" quotePrefix="0" xfId="0">
      <alignment horizontal="center"/>
    </xf>
    <xf numFmtId="0" fontId="20" fillId="29" borderId="0" applyAlignment="1" pivotButton="0" quotePrefix="0" xfId="0">
      <alignment horizontal="center"/>
    </xf>
    <xf numFmtId="0" fontId="21" fillId="28" borderId="7" applyAlignment="1" pivotButton="0" quotePrefix="0" xfId="0">
      <alignment horizontal="center"/>
    </xf>
    <xf numFmtId="0" fontId="0" fillId="28" borderId="7" pivotButton="0" quotePrefix="0" xfId="0"/>
    <xf numFmtId="0" fontId="21" fillId="28" borderId="7" pivotButton="0" quotePrefix="0" xfId="0"/>
    <xf numFmtId="0" fontId="17" fillId="0" borderId="0" pivotButton="0" quotePrefix="0" xfId="0"/>
    <xf numFmtId="0" fontId="22" fillId="21" borderId="0" applyAlignment="1" pivotButton="0" quotePrefix="0" xfId="0">
      <alignment horizontal="center"/>
    </xf>
    <xf numFmtId="0" fontId="23" fillId="0" borderId="7" pivotButton="0" quotePrefix="0" xfId="0"/>
  </cellXfs>
  <cellStyles count="2">
    <cellStyle name="Normal" xfId="0" builtinId="0"/>
    <cellStyle name="Monétaire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B6" sqref="B6"/>
    </sheetView>
  </sheetViews>
  <sheetFormatPr baseColWidth="10" defaultColWidth="8.88671875" defaultRowHeight="14.4"/>
  <cols>
    <col width="35" customWidth="1" style="39" min="1" max="1"/>
    <col width="23" customWidth="1" style="39" min="2" max="3"/>
    <col width="18" customWidth="1" style="39" min="4" max="4"/>
    <col width="30" customWidth="1" style="39" min="5" max="6"/>
    <col width="18" customWidth="1" style="39" min="7" max="7"/>
    <col width="16" customWidth="1" style="39" min="8" max="10"/>
  </cols>
  <sheetData>
    <row r="1" ht="15.6" customHeight="1" s="39">
      <c r="A1" s="38" t="inlineStr">
        <is>
          <t>SYNTHÈSE BUDGÉTAIRE — Monique Festival</t>
        </is>
      </c>
    </row>
    <row r="3">
      <c r="A3" s="1" t="inlineStr">
        <is>
          <t>Catégorie</t>
        </is>
      </c>
      <c r="B3" s="1" t="inlineStr">
        <is>
          <t>Recettes prévues</t>
        </is>
      </c>
      <c r="C3" s="1" t="inlineStr">
        <is>
          <t>Recettes réelles</t>
        </is>
      </c>
      <c r="D3" s="1" t="inlineStr">
        <is>
          <t>Écart recettes</t>
        </is>
      </c>
      <c r="E3" s="1" t="inlineStr">
        <is>
          <t>Dépenses prévues</t>
        </is>
      </c>
      <c r="F3" s="1" t="inlineStr">
        <is>
          <t>Dépenses réelles</t>
        </is>
      </c>
      <c r="G3" s="1" t="inlineStr">
        <is>
          <t>Écart dépenses</t>
        </is>
      </c>
      <c r="H3" s="1" t="inlineStr">
        <is>
          <t>Marge prévue</t>
        </is>
      </c>
      <c r="I3" s="1" t="inlineStr">
        <is>
          <t>Marge réelle</t>
        </is>
      </c>
      <c r="J3" s="1" t="inlineStr">
        <is>
          <t>Écart marge</t>
        </is>
      </c>
    </row>
    <row r="4">
      <c r="A4" s="2" t="inlineStr">
        <is>
          <t>Crowdfunding</t>
        </is>
      </c>
      <c r="B4" s="3">
        <f>Crowdfunding!C16</f>
        <v/>
      </c>
      <c r="C4" s="3">
        <f>Crowdfunding!D16</f>
        <v/>
      </c>
      <c r="D4" s="3">
        <f>C4-B4</f>
        <v/>
      </c>
      <c r="E4" s="4" t="n">
        <v>0</v>
      </c>
      <c r="F4" s="4" t="n">
        <v>0</v>
      </c>
      <c r="G4" s="4">
        <f>F4-E4</f>
        <v/>
      </c>
      <c r="H4" s="5">
        <f>B4-E4</f>
        <v/>
      </c>
      <c r="I4" s="5">
        <f>C4-F4</f>
        <v/>
      </c>
      <c r="J4" s="5">
        <f>I4-H4</f>
        <v/>
      </c>
    </row>
    <row r="5">
      <c r="A5" s="2" t="inlineStr">
        <is>
          <t>Billetterie + Artistes</t>
        </is>
      </c>
      <c r="B5" s="3">
        <f>Billetterie!D10</f>
        <v/>
      </c>
      <c r="C5" s="3">
        <f>Billetterie!F10</f>
        <v/>
      </c>
      <c r="D5" s="3">
        <f>C5-B5</f>
        <v/>
      </c>
      <c r="E5" s="4">
        <f>Artistes!F36+Artistes!G36+Artistes!H36</f>
        <v/>
      </c>
      <c r="F5" s="4">
        <f>Artistes!J36+Artistes!K36</f>
        <v/>
      </c>
      <c r="G5" s="4">
        <f>F5-E5</f>
        <v/>
      </c>
      <c r="H5" s="5">
        <f>B5-E5</f>
        <v/>
      </c>
      <c r="I5" s="5">
        <f>C5-F5</f>
        <v/>
      </c>
      <c r="J5" s="5">
        <f>I5-H5</f>
        <v/>
      </c>
    </row>
    <row r="6">
      <c r="A6" s="2" t="inlineStr">
        <is>
          <t>F&amp;B (Buvettes + Restauration)</t>
        </is>
      </c>
      <c r="B6" s="3">
        <f>'F&amp;B'!H119</f>
        <v/>
      </c>
      <c r="C6" s="3">
        <f>'F&amp;B'!I119</f>
        <v/>
      </c>
      <c r="D6" s="3">
        <f>C6-B6</f>
        <v/>
      </c>
      <c r="E6" s="4">
        <f>'F&amp;B'!H120</f>
        <v/>
      </c>
      <c r="F6" s="4">
        <f>'F&amp;B'!I120</f>
        <v/>
      </c>
      <c r="G6" s="4">
        <f>F6-E6</f>
        <v/>
      </c>
      <c r="H6" s="5">
        <f>B6-E6</f>
        <v/>
      </c>
      <c r="I6" s="5">
        <f>C6-F6</f>
        <v/>
      </c>
      <c r="J6" s="5">
        <f>I6-H6</f>
        <v/>
      </c>
    </row>
    <row r="7">
      <c r="A7" s="2" t="inlineStr">
        <is>
          <t>Ateliers (recettes + coûts ateliers)</t>
        </is>
      </c>
      <c r="B7" s="3">
        <f>Ateliers!D14</f>
        <v/>
      </c>
      <c r="C7" s="3">
        <f>Ateliers!E14</f>
        <v/>
      </c>
      <c r="D7" s="3">
        <f>C7-B7</f>
        <v/>
      </c>
      <c r="E7" s="4">
        <f>Ateliers!D27</f>
        <v/>
      </c>
      <c r="F7" s="4">
        <f>Ateliers!E27</f>
        <v/>
      </c>
      <c r="G7" s="4">
        <f>F7-E7</f>
        <v/>
      </c>
      <c r="H7" s="5">
        <f>B7-E7</f>
        <v/>
      </c>
      <c r="I7" s="5">
        <f>C7-F7</f>
        <v/>
      </c>
      <c r="J7" s="5">
        <f>I7-H7</f>
        <v/>
      </c>
    </row>
    <row r="8">
      <c r="A8" s="2" t="inlineStr">
        <is>
          <t>Logistique</t>
        </is>
      </c>
      <c r="B8" s="3" t="n">
        <v>0</v>
      </c>
      <c r="C8" s="3" t="n">
        <v>0</v>
      </c>
      <c r="D8" s="3">
        <f>C8-B8</f>
        <v/>
      </c>
      <c r="E8" s="4">
        <f>Logistique!C18</f>
        <v/>
      </c>
      <c r="F8" s="4">
        <f>Logistique!D18</f>
        <v/>
      </c>
      <c r="G8" s="4">
        <f>F8-E8</f>
        <v/>
      </c>
      <c r="H8" s="5">
        <f>B8-E8</f>
        <v/>
      </c>
      <c r="I8" s="5">
        <f>C8-F8</f>
        <v/>
      </c>
      <c r="J8" s="5">
        <f>I8-H8</f>
        <v/>
      </c>
    </row>
    <row r="9">
      <c r="A9" s="2" t="inlineStr">
        <is>
          <t>Frais divers</t>
        </is>
      </c>
      <c r="B9" s="3">
        <f>'Frais divers'!D12</f>
        <v/>
      </c>
      <c r="C9" s="3">
        <f>'Frais divers'!E12</f>
        <v/>
      </c>
      <c r="D9" s="3">
        <f>C9-B9</f>
        <v/>
      </c>
      <c r="E9" s="4">
        <f>'Frais divers'!D29</f>
        <v/>
      </c>
      <c r="F9" s="4">
        <f>'Frais divers'!E29</f>
        <v/>
      </c>
      <c r="G9" s="4">
        <f>F9-E9</f>
        <v/>
      </c>
      <c r="H9" s="5">
        <f>B9-E9</f>
        <v/>
      </c>
      <c r="I9" s="5">
        <f>C9-F9</f>
        <v/>
      </c>
      <c r="J9" s="5">
        <f>I9-H9</f>
        <v/>
      </c>
    </row>
    <row r="11">
      <c r="A11" s="2" t="inlineStr">
        <is>
          <t>(ajustement défraiement supprimé : 150€ moyen intégré directement)</t>
        </is>
      </c>
      <c r="B11" s="5" t="n"/>
      <c r="C11" s="5" t="n"/>
      <c r="D11" s="5" t="n"/>
      <c r="E11" s="5" t="n">
        <v>0</v>
      </c>
      <c r="F11" s="5" t="n"/>
      <c r="G11" s="5" t="n"/>
      <c r="H11" s="5" t="n"/>
      <c r="I11" s="5" t="n"/>
      <c r="J11" s="5" t="n"/>
    </row>
    <row r="12">
      <c r="A12" s="6" t="inlineStr">
        <is>
          <t>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7">
        <f>SUM(H4:H11)</f>
        <v/>
      </c>
      <c r="I12" s="7">
        <f>SUM(I4:I11)</f>
        <v/>
      </c>
      <c r="J12" s="7">
        <f>SUM(J4:J11)</f>
        <v/>
      </c>
    </row>
    <row r="15" ht="15.6" customHeight="1" s="39">
      <c r="A15" s="38" t="inlineStr">
        <is>
          <t>SCÉNARIOS PAR JAUGE</t>
        </is>
      </c>
    </row>
    <row r="17">
      <c r="A17" s="1" t="inlineStr">
        <is>
          <t>Scénario</t>
        </is>
      </c>
      <c r="B17" s="1" t="inlineStr">
        <is>
          <t>Recettes</t>
        </is>
      </c>
      <c r="C17" s="1" t="inlineStr">
        <is>
          <t>Coûts</t>
        </is>
      </c>
      <c r="D17" s="1" t="inlineStr">
        <is>
          <t>Marge</t>
        </is>
      </c>
      <c r="E17" s="1" t="inlineStr">
        <is>
          <t>Jauge</t>
        </is>
      </c>
      <c r="F17" s="1" t="inlineStr">
        <is>
          <t>Nb festivaliers</t>
        </is>
      </c>
    </row>
    <row r="18">
      <c r="A18" s="8" t="inlineStr">
        <is>
          <t>Jauge -20%</t>
        </is>
      </c>
      <c r="B18" s="9" t="n">
        <v>46403</v>
      </c>
      <c r="C18" s="9" t="n">
        <v>49667</v>
      </c>
      <c r="D18" s="10" t="n">
        <v>-3264</v>
      </c>
      <c r="E18" s="8" t="inlineStr">
        <is>
          <t>960</t>
        </is>
      </c>
      <c r="F18" s="8" t="n">
        <v>960</v>
      </c>
    </row>
    <row r="19">
      <c r="A19" s="11" t="inlineStr">
        <is>
          <t>Jauge standard</t>
        </is>
      </c>
      <c r="B19" s="12" t="n">
        <v>57421</v>
      </c>
      <c r="C19" s="12" t="n">
        <v>51807</v>
      </c>
      <c r="D19" s="13" t="n">
        <v>5614</v>
      </c>
      <c r="E19" s="11" t="inlineStr">
        <is>
          <t>1 200</t>
        </is>
      </c>
      <c r="F19" s="11" t="n">
        <v>1200</v>
      </c>
    </row>
    <row r="20">
      <c r="A20" s="8" t="inlineStr">
        <is>
          <t>Jauge +20%</t>
        </is>
      </c>
      <c r="B20" s="9" t="n">
        <v>68439</v>
      </c>
      <c r="C20" s="9" t="n">
        <v>53948</v>
      </c>
      <c r="D20" s="14" t="n">
        <v>14491</v>
      </c>
      <c r="E20" s="8" t="inlineStr">
        <is>
          <t>1 440</t>
        </is>
      </c>
      <c r="F20" s="8" t="n">
        <v>1440</v>
      </c>
    </row>
    <row r="22">
      <c r="A22" s="23" t="inlineStr">
        <is>
          <t>Standard + réassort bière 5 fûts</t>
        </is>
      </c>
      <c r="B22" s="23" t="n">
        <v>60621</v>
      </c>
      <c r="C22" s="23" t="n">
        <v>52207</v>
      </c>
      <c r="D22" s="23" t="n">
        <v>8414</v>
      </c>
      <c r="E22" s="23" t="inlineStr">
        <is>
          <t>1 200</t>
        </is>
      </c>
      <c r="F22" s="23" t="n">
        <v>1200</v>
      </c>
    </row>
    <row r="24">
      <c r="A24" s="24" t="inlineStr">
        <is>
          <t>Note : SACEM 1 427 € et repas artistes 555 € exclus du F&amp;B (à imputer Droits d auteur / Artistes si confirmes dus)</t>
        </is>
      </c>
    </row>
  </sheetData>
  <mergeCells count="2">
    <mergeCell ref="A1:J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10" defaultColWidth="8.88671875" defaultRowHeight="14.4"/>
  <cols>
    <col width="35" customWidth="1" style="39" min="1" max="2"/>
    <col width="16" customWidth="1" style="39" min="3" max="5"/>
  </cols>
  <sheetData>
    <row r="1" ht="15.6" customHeight="1" s="39">
      <c r="A1" s="38" t="inlineStr">
        <is>
          <t>CROWDFUNDING — Recettes HelloAsso</t>
        </is>
      </c>
    </row>
    <row r="3">
      <c r="A3" s="1" t="inlineStr">
        <is>
          <t>Date</t>
        </is>
      </c>
      <c r="B3" s="1" t="inlineStr">
        <is>
          <t>Description</t>
        </is>
      </c>
      <c r="C3" s="1" t="inlineStr">
        <is>
          <t>Prévu</t>
        </is>
      </c>
      <c r="D3" s="1" t="inlineStr">
        <is>
          <t>Réel</t>
        </is>
      </c>
      <c r="E3" s="1" t="inlineStr">
        <is>
          <t>Écart</t>
        </is>
      </c>
    </row>
    <row r="4">
      <c r="A4" s="15" t="n"/>
      <c r="B4" s="2" t="inlineStr">
        <is>
          <t>Objectif crowdfunding (palier 3)</t>
        </is>
      </c>
      <c r="C4" s="5" t="n">
        <v>8000</v>
      </c>
      <c r="D4" s="5" t="n"/>
      <c r="E4" s="5">
        <f>D4-C4</f>
        <v/>
      </c>
    </row>
    <row r="5">
      <c r="A5" s="15" t="n"/>
      <c r="B5" s="2" t="n"/>
      <c r="C5" s="5" t="n"/>
      <c r="D5" s="5" t="n"/>
      <c r="E5" s="5">
        <f>D5-C5</f>
        <v/>
      </c>
    </row>
    <row r="6">
      <c r="A6" s="15" t="n"/>
      <c r="B6" s="2" t="n"/>
      <c r="C6" s="5" t="n"/>
      <c r="D6" s="5" t="n"/>
      <c r="E6" s="5">
        <f>D6-C6</f>
        <v/>
      </c>
    </row>
    <row r="7">
      <c r="A7" s="15" t="n"/>
      <c r="B7" s="2" t="n"/>
      <c r="C7" s="5" t="n"/>
      <c r="D7" s="5" t="n"/>
      <c r="E7" s="5">
        <f>D7-C7</f>
        <v/>
      </c>
    </row>
    <row r="8">
      <c r="A8" s="15" t="n"/>
      <c r="B8" s="2" t="n"/>
      <c r="C8" s="5" t="n"/>
      <c r="D8" s="5" t="n"/>
      <c r="E8" s="5">
        <f>D8-C8</f>
        <v/>
      </c>
    </row>
    <row r="9">
      <c r="A9" s="15" t="n"/>
      <c r="B9" s="2" t="n"/>
      <c r="C9" s="5" t="n"/>
      <c r="D9" s="5" t="n"/>
      <c r="E9" s="5">
        <f>D9-C9</f>
        <v/>
      </c>
    </row>
    <row r="10">
      <c r="A10" s="15" t="n"/>
      <c r="B10" s="2" t="n"/>
      <c r="C10" s="5" t="n"/>
      <c r="D10" s="5" t="n"/>
      <c r="E10" s="5">
        <f>D10-C10</f>
        <v/>
      </c>
    </row>
    <row r="11">
      <c r="A11" s="15" t="n"/>
      <c r="B11" s="2" t="n"/>
      <c r="C11" s="5" t="n"/>
      <c r="D11" s="5" t="n"/>
      <c r="E11" s="5">
        <f>D11-C11</f>
        <v/>
      </c>
    </row>
    <row r="12">
      <c r="A12" s="15" t="n"/>
      <c r="B12" s="2" t="n"/>
      <c r="C12" s="5" t="n"/>
      <c r="D12" s="5" t="n"/>
      <c r="E12" s="5">
        <f>D12-C12</f>
        <v/>
      </c>
    </row>
    <row r="13">
      <c r="A13" s="15" t="n"/>
      <c r="B13" s="2" t="n"/>
      <c r="C13" s="5" t="n"/>
      <c r="D13" s="5" t="n"/>
      <c r="E13" s="5">
        <f>D13-C13</f>
        <v/>
      </c>
    </row>
    <row r="14">
      <c r="A14" s="15" t="n"/>
      <c r="B14" s="2" t="n"/>
      <c r="C14" s="5" t="n"/>
      <c r="D14" s="5" t="n"/>
      <c r="E14" s="5">
        <f>D14-C14</f>
        <v/>
      </c>
    </row>
    <row r="16">
      <c r="A16" s="6" t="inlineStr">
        <is>
          <t>TOTAL CROWDFUNDING</t>
        </is>
      </c>
      <c r="B16" s="6" t="n"/>
      <c r="C16" s="7">
        <f>SUM(C4:C14)</f>
        <v/>
      </c>
      <c r="D16" s="7">
        <f>SUM(D4:D14)</f>
        <v/>
      </c>
      <c r="E16" s="7">
        <f>SUM(E4:E14)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:G1"/>
    </sheetView>
  </sheetViews>
  <sheetFormatPr baseColWidth="10" defaultColWidth="8.88671875" defaultRowHeight="14.4"/>
  <cols>
    <col width="27" customWidth="1" style="39" min="1" max="1"/>
    <col width="9" customWidth="1" style="39" min="2" max="2"/>
    <col width="15" customWidth="1" style="39" min="3" max="3"/>
    <col width="20" customWidth="1" style="39" min="4" max="4"/>
    <col width="15" customWidth="1" style="39" min="5" max="5"/>
    <col width="20" customWidth="1" style="39" min="6" max="6"/>
    <col width="15" customWidth="1" style="39" min="7" max="7"/>
  </cols>
  <sheetData>
    <row r="1" ht="15.6" customHeight="1" s="39">
      <c r="A1" s="38" t="inlineStr">
        <is>
          <t>BILLETTERIE — Recettes</t>
        </is>
      </c>
    </row>
    <row r="3">
      <c r="A3" s="1" t="inlineStr">
        <is>
          <t>Type</t>
        </is>
      </c>
      <c r="B3" s="1" t="inlineStr">
        <is>
          <t>Tarif</t>
        </is>
      </c>
      <c r="C3" s="1" t="inlineStr">
        <is>
          <t>Nb prévu</t>
        </is>
      </c>
      <c r="D3" s="1" t="inlineStr">
        <is>
          <t>Recettes prévues</t>
        </is>
      </c>
      <c r="E3" s="1" t="inlineStr">
        <is>
          <t>Nb réel</t>
        </is>
      </c>
      <c r="F3" s="1" t="inlineStr">
        <is>
          <t>Recettes réelles</t>
        </is>
      </c>
      <c r="G3" s="1" t="inlineStr">
        <is>
          <t>Écart</t>
        </is>
      </c>
    </row>
    <row r="4">
      <c r="A4" s="2" t="inlineStr">
        <is>
          <t>Early bird pass 3 jours</t>
        </is>
      </c>
      <c r="B4" s="5" t="n">
        <v>20</v>
      </c>
      <c r="C4" s="2" t="n">
        <v>120</v>
      </c>
      <c r="D4" s="5">
        <f>B4*C4</f>
        <v/>
      </c>
      <c r="E4" s="2" t="n"/>
      <c r="F4" s="5">
        <f>B4*E4</f>
        <v/>
      </c>
      <c r="G4" s="5">
        <f>F4-D4</f>
        <v/>
      </c>
    </row>
    <row r="5">
      <c r="A5" s="2" t="inlineStr">
        <is>
          <t>Pass 3 jours</t>
        </is>
      </c>
      <c r="B5" s="5" t="n">
        <v>25</v>
      </c>
      <c r="C5" s="2" t="n">
        <v>480</v>
      </c>
      <c r="D5" s="5">
        <f>B5*C5</f>
        <v/>
      </c>
      <c r="E5" s="2" t="n"/>
      <c r="F5" s="5">
        <f>B5*E5</f>
        <v/>
      </c>
      <c r="G5" s="5">
        <f>F5-D5</f>
        <v/>
      </c>
    </row>
    <row r="6">
      <c r="A6" s="2" t="inlineStr">
        <is>
          <t>Vendredi</t>
        </is>
      </c>
      <c r="B6" s="5" t="n">
        <v>10</v>
      </c>
      <c r="C6" s="2" t="n">
        <v>150</v>
      </c>
      <c r="D6" s="5">
        <f>B6*C6</f>
        <v/>
      </c>
      <c r="E6" s="2" t="n"/>
      <c r="F6" s="5">
        <f>B6*E6</f>
        <v/>
      </c>
      <c r="G6" s="5">
        <f>F6-D6</f>
        <v/>
      </c>
    </row>
    <row r="7">
      <c r="A7" s="2" t="inlineStr">
        <is>
          <t>Samedi</t>
        </is>
      </c>
      <c r="B7" s="5" t="n">
        <v>15</v>
      </c>
      <c r="C7" s="2" t="n">
        <v>300</v>
      </c>
      <c r="D7" s="5">
        <f>B7*C7</f>
        <v/>
      </c>
      <c r="E7" s="2" t="n"/>
      <c r="F7" s="5">
        <f>B7*E7</f>
        <v/>
      </c>
      <c r="G7" s="5">
        <f>F7-D7</f>
        <v/>
      </c>
    </row>
    <row r="8">
      <c r="A8" s="2" t="inlineStr">
        <is>
          <t>Dimanche</t>
        </is>
      </c>
      <c r="B8" s="5" t="n">
        <v>15</v>
      </c>
      <c r="C8" s="2" t="n">
        <v>150</v>
      </c>
      <c r="D8" s="5">
        <f>B8*C8</f>
        <v/>
      </c>
      <c r="E8" s="2" t="n"/>
      <c r="F8" s="5">
        <f>B8*E8</f>
        <v/>
      </c>
      <c r="G8" s="5">
        <f>F8-D8</f>
        <v/>
      </c>
    </row>
    <row r="10">
      <c r="A10" s="6" t="inlineStr">
        <is>
          <t>TOTAL BILLETTERIE</t>
        </is>
      </c>
      <c r="B10" s="6" t="n"/>
      <c r="C10" s="7">
        <f>SUM(C4:C8)</f>
        <v/>
      </c>
      <c r="D10" s="7">
        <f>SUM(D4:D8)</f>
        <v/>
      </c>
      <c r="E10" s="7">
        <f>SUM(E4:E8)</f>
        <v/>
      </c>
      <c r="F10" s="7">
        <f>SUM(F4:F8)</f>
        <v/>
      </c>
      <c r="G10" s="7">
        <f>SUM(G4:G8)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9"/>
  <sheetViews>
    <sheetView topLeftCell="A84" workbookViewId="0">
      <selection activeCell="I7" sqref="I7"/>
    </sheetView>
  </sheetViews>
  <sheetFormatPr baseColWidth="10" defaultColWidth="8.88671875" defaultRowHeight="14.4"/>
  <cols>
    <col width="13" customWidth="1" style="39" min="1" max="1"/>
    <col width="17.44140625" bestFit="1" customWidth="1" style="39" min="2" max="2"/>
    <col width="31" bestFit="1" customWidth="1" style="39" min="3" max="3"/>
    <col width="76.6640625" bestFit="1" customWidth="1" style="39" min="4" max="4"/>
    <col width="8" bestFit="1" customWidth="1" style="39" min="5" max="5"/>
    <col width="10.109375" bestFit="1" customWidth="1" style="39" min="6" max="6"/>
    <col width="9" customWidth="1" style="83" min="7" max="7"/>
    <col width="11.33203125" bestFit="1" customWidth="1" style="79" min="8" max="8"/>
    <col width="38.33203125" bestFit="1" customWidth="1" style="39" min="9" max="9"/>
    <col width="46.33203125" bestFit="1" customWidth="1" style="39" min="10" max="10"/>
  </cols>
  <sheetData>
    <row r="1" ht="24" customHeight="1" s="39">
      <c r="A1" s="41" t="inlineStr">
        <is>
          <t>F&amp;B — Buvettes + Restauration (détail max — Scénario B + Flousy)</t>
        </is>
      </c>
    </row>
    <row r="3">
      <c r="A3" s="43" t="inlineStr">
        <is>
          <t>RECETTES — Détail par jour et par produit</t>
        </is>
      </c>
    </row>
    <row r="5">
      <c r="A5" s="18" t="inlineStr">
        <is>
          <t>Jour</t>
        </is>
      </c>
      <c r="B5" s="18" t="inlineStr">
        <is>
          <t>Catégorie</t>
        </is>
      </c>
      <c r="C5" s="18" t="inlineStr">
        <is>
          <t>Produit</t>
        </is>
      </c>
      <c r="D5" s="18" t="inlineStr">
        <is>
          <t>Format</t>
        </is>
      </c>
      <c r="E5" s="18" t="inlineStr">
        <is>
          <t>Quantité</t>
        </is>
      </c>
      <c r="F5" s="18" t="inlineStr">
        <is>
          <t>Prix flousy</t>
        </is>
      </c>
      <c r="G5" s="84" t="inlineStr">
        <is>
          <t>Prix €</t>
        </is>
      </c>
      <c r="H5" s="65" t="inlineStr">
        <is>
          <t>Recette €</t>
        </is>
      </c>
    </row>
    <row r="6">
      <c r="A6" s="28" t="inlineStr">
        <is>
          <t>Vendredi</t>
        </is>
      </c>
      <c r="B6" s="28" t="inlineStr">
        <is>
          <t>Buvette</t>
        </is>
      </c>
      <c r="C6" s="28" t="inlineStr">
        <is>
          <t>Bière blonde/blanche Le Pintadier</t>
        </is>
      </c>
      <c r="D6" s="28" t="inlineStr">
        <is>
          <t>Verre 25 cL</t>
        </is>
      </c>
      <c r="E6" s="28" t="n">
        <v>300</v>
      </c>
      <c r="F6" s="28" t="n">
        <v>3</v>
      </c>
      <c r="G6" s="85" t="n">
        <v>4.5</v>
      </c>
      <c r="H6" s="66" t="n">
        <v>1350</v>
      </c>
    </row>
    <row r="7">
      <c r="A7" s="28" t="inlineStr">
        <is>
          <t>Vendredi</t>
        </is>
      </c>
      <c r="B7" s="28" t="inlineStr">
        <is>
          <t>Buvette</t>
        </is>
      </c>
      <c r="C7" s="28" t="inlineStr">
        <is>
          <t>Vin Cubi Jura tradition</t>
        </is>
      </c>
      <c r="D7" s="28" t="inlineStr">
        <is>
          <t>Verre 25 cL</t>
        </is>
      </c>
      <c r="E7" s="28" t="n">
        <v>108</v>
      </c>
      <c r="F7" s="28" t="n">
        <v>3</v>
      </c>
      <c r="G7" s="85" t="n">
        <v>4.5</v>
      </c>
      <c r="H7" s="66" t="n">
        <v>486</v>
      </c>
    </row>
    <row r="8">
      <c r="A8" s="28" t="inlineStr">
        <is>
          <t>Vendredi</t>
        </is>
      </c>
      <c r="B8" s="28" t="inlineStr">
        <is>
          <t>Buvette</t>
        </is>
      </c>
      <c r="C8" s="28" t="inlineStr">
        <is>
          <t>Sirop dilué</t>
        </is>
      </c>
      <c r="D8" s="28" t="inlineStr">
        <is>
          <t>Verre 25 cL</t>
        </is>
      </c>
      <c r="E8" s="28" t="n">
        <v>146</v>
      </c>
      <c r="F8" s="28" t="n">
        <v>2</v>
      </c>
      <c r="G8" s="85" t="n">
        <v>3</v>
      </c>
      <c r="H8" s="66" t="n">
        <v>438</v>
      </c>
    </row>
    <row r="9">
      <c r="A9" s="28" t="inlineStr">
        <is>
          <t>Vendredi</t>
        </is>
      </c>
      <c r="B9" s="28" t="inlineStr">
        <is>
          <t>Buvette</t>
        </is>
      </c>
      <c r="C9" s="28" t="inlineStr">
        <is>
          <t>Jus de pomme Saveur de la Ferme</t>
        </is>
      </c>
      <c r="D9" s="28" t="inlineStr">
        <is>
          <t>Verre 25 cL</t>
        </is>
      </c>
      <c r="E9" s="28" t="n">
        <v>73</v>
      </c>
      <c r="F9" s="28" t="n">
        <v>2</v>
      </c>
      <c r="G9" s="85" t="n">
        <v>3</v>
      </c>
      <c r="H9" s="66" t="n">
        <v>219</v>
      </c>
    </row>
    <row r="10">
      <c r="A10" s="28" t="inlineStr">
        <is>
          <t>Vendredi</t>
        </is>
      </c>
      <c r="B10" s="28" t="inlineStr">
        <is>
          <t>Buvette</t>
        </is>
      </c>
      <c r="C10" s="28" t="inlineStr">
        <is>
          <t>Mortuacienne (limonade)</t>
        </is>
      </c>
      <c r="D10" s="28" t="inlineStr">
        <is>
          <t>Verre 25 cL</t>
        </is>
      </c>
      <c r="E10" s="28" t="n">
        <v>29</v>
      </c>
      <c r="F10" s="28" t="n">
        <v>2</v>
      </c>
      <c r="G10" s="85" t="n">
        <v>3</v>
      </c>
      <c r="H10" s="66" t="n">
        <v>87</v>
      </c>
    </row>
    <row r="11">
      <c r="A11" s="28" t="inlineStr">
        <is>
          <t>Vendredi</t>
        </is>
      </c>
      <c r="B11" s="28" t="inlineStr">
        <is>
          <t>Buvette</t>
        </is>
      </c>
      <c r="C11" s="28" t="inlineStr">
        <is>
          <t>Eau pétillante Bisontine</t>
        </is>
      </c>
      <c r="D11" s="28" t="inlineStr">
        <is>
          <t>Btl verre 1 L</t>
        </is>
      </c>
      <c r="E11" s="28" t="n">
        <v>7</v>
      </c>
      <c r="F11" s="28" t="n">
        <v>2</v>
      </c>
      <c r="G11" s="85" t="n">
        <v>3</v>
      </c>
      <c r="H11" s="66" t="n">
        <v>21</v>
      </c>
    </row>
    <row r="12">
      <c r="A12" s="28" t="inlineStr">
        <is>
          <t>Vendredi</t>
        </is>
      </c>
      <c r="B12" s="28" t="inlineStr">
        <is>
          <t>Buvette</t>
        </is>
      </c>
      <c r="C12" s="28" t="inlineStr">
        <is>
          <t>Eau plate (BFC)</t>
        </is>
      </c>
      <c r="D12" s="28" t="inlineStr">
        <is>
          <t>Btl verre 1 L</t>
        </is>
      </c>
      <c r="E12" s="28" t="n">
        <v>7</v>
      </c>
      <c r="F12" s="28" t="n">
        <v>2</v>
      </c>
      <c r="G12" s="85" t="n">
        <v>3</v>
      </c>
      <c r="H12" s="66" t="n">
        <v>21</v>
      </c>
    </row>
    <row r="13">
      <c r="A13" s="28" t="inlineStr">
        <is>
          <t>Vendredi</t>
        </is>
      </c>
      <c r="B13" s="28" t="inlineStr">
        <is>
          <t>Buvette</t>
        </is>
      </c>
      <c r="C13" s="28" t="inlineStr">
        <is>
          <t>Café moulu équitable BFC</t>
        </is>
      </c>
      <c r="D13" s="28" t="inlineStr">
        <is>
          <t>Verre 25 cL</t>
        </is>
      </c>
      <c r="E13" s="28" t="n">
        <v>40</v>
      </c>
      <c r="F13" s="28" t="n">
        <v>1</v>
      </c>
      <c r="G13" s="85" t="n">
        <v>1.5</v>
      </c>
      <c r="H13" s="66" t="n">
        <v>60</v>
      </c>
    </row>
    <row r="14">
      <c r="A14" s="28" t="inlineStr">
        <is>
          <t>Vendredi</t>
        </is>
      </c>
      <c r="B14" s="28" t="inlineStr">
        <is>
          <t>Snacks</t>
        </is>
      </c>
      <c r="C14" s="28" t="inlineStr">
        <is>
          <t>Pop-corn</t>
        </is>
      </c>
      <c r="D14" s="28" t="inlineStr">
        <is>
          <t>Gobelet 72 cL</t>
        </is>
      </c>
      <c r="E14" s="28" t="n">
        <v>40</v>
      </c>
      <c r="F14" s="28" t="n">
        <v>1</v>
      </c>
      <c r="G14" s="85" t="n">
        <v>1.5</v>
      </c>
      <c r="H14" s="66" t="n">
        <v>60</v>
      </c>
    </row>
    <row r="15">
      <c r="A15" s="28" t="inlineStr">
        <is>
          <t>Vendredi</t>
        </is>
      </c>
      <c r="B15" s="28" t="inlineStr">
        <is>
          <t>Snacks</t>
        </is>
      </c>
      <c r="C15" s="28" t="inlineStr">
        <is>
          <t>Frites (snack à part)</t>
        </is>
      </c>
      <c r="D15" s="28" t="inlineStr">
        <is>
          <t>Barquette kraft 150 g</t>
        </is>
      </c>
      <c r="E15" s="28" t="n">
        <v>40</v>
      </c>
      <c r="F15" s="28" t="n">
        <v>2</v>
      </c>
      <c r="G15" s="85" t="n">
        <v>3</v>
      </c>
      <c r="H15" s="66" t="n">
        <v>120</v>
      </c>
    </row>
    <row r="16">
      <c r="A16" s="28" t="inlineStr">
        <is>
          <t>Vendredi</t>
        </is>
      </c>
      <c r="B16" s="28" t="inlineStr">
        <is>
          <t>Snacks</t>
        </is>
      </c>
      <c r="C16" s="28" t="inlineStr">
        <is>
          <t>Glace 1 boule</t>
        </is>
      </c>
      <c r="D16" s="28" t="inlineStr">
        <is>
          <t>Cornet gaufrette</t>
        </is>
      </c>
      <c r="E16" s="28" t="n">
        <v>31</v>
      </c>
      <c r="F16" s="28" t="n">
        <v>1</v>
      </c>
      <c r="G16" s="85" t="n">
        <v>1.5</v>
      </c>
      <c r="H16" s="66" t="n">
        <v>47</v>
      </c>
    </row>
    <row r="17">
      <c r="A17" s="28" t="inlineStr">
        <is>
          <t>Vendredi</t>
        </is>
      </c>
      <c r="B17" s="28" t="inlineStr">
        <is>
          <t>Snacks</t>
        </is>
      </c>
      <c r="C17" s="28" t="inlineStr">
        <is>
          <t>Glace 2 boules</t>
        </is>
      </c>
      <c r="D17" s="28" t="inlineStr">
        <is>
          <t>Cornet gaufrette</t>
        </is>
      </c>
      <c r="E17" s="28" t="n">
        <v>21</v>
      </c>
      <c r="F17" s="28" t="n">
        <v>2</v>
      </c>
      <c r="G17" s="85" t="n">
        <v>3</v>
      </c>
      <c r="H17" s="66" t="n">
        <v>63</v>
      </c>
    </row>
    <row r="18">
      <c r="A18" s="28" t="inlineStr">
        <is>
          <t>Vendredi</t>
        </is>
      </c>
      <c r="B18" s="28" t="inlineStr">
        <is>
          <t>Snacks</t>
        </is>
      </c>
      <c r="C18" s="28" t="inlineStr">
        <is>
          <t>Tomates cerise BRUNO</t>
        </is>
      </c>
      <c r="D18" s="28" t="inlineStr">
        <is>
          <t>Gobelet 25 cL (150 g)</t>
        </is>
      </c>
      <c r="E18" s="28" t="n">
        <v>100</v>
      </c>
      <c r="F18" s="28" t="n">
        <v>1</v>
      </c>
      <c r="G18" s="85" t="n">
        <v>1.5</v>
      </c>
      <c r="H18" s="66" t="n">
        <v>150</v>
      </c>
    </row>
    <row r="19">
      <c r="A19" s="28" t="inlineStr">
        <is>
          <t>Vendredi</t>
        </is>
      </c>
      <c r="B19" s="28" t="inlineStr">
        <is>
          <t>Restauration</t>
        </is>
      </c>
      <c r="C19" s="28" t="inlineStr">
        <is>
          <t>Petite assiette franc-comtoise</t>
        </is>
      </c>
      <c r="D19" s="28" t="inlineStr">
        <is>
          <t>Plateau</t>
        </is>
      </c>
      <c r="E19" s="28" t="n">
        <v>47</v>
      </c>
      <c r="F19" s="28" t="n">
        <v>6</v>
      </c>
      <c r="G19" s="85" t="n">
        <v>9</v>
      </c>
      <c r="H19" s="66" t="n">
        <v>423</v>
      </c>
    </row>
    <row r="20">
      <c r="A20" s="28" t="inlineStr">
        <is>
          <t>Vendredi</t>
        </is>
      </c>
      <c r="B20" s="28" t="inlineStr">
        <is>
          <t>Restauration</t>
        </is>
      </c>
      <c r="C20" s="28" t="inlineStr">
        <is>
          <t>Petite assiette végétarienne</t>
        </is>
      </c>
      <c r="D20" s="28" t="inlineStr">
        <is>
          <t>Plateau</t>
        </is>
      </c>
      <c r="E20" s="28" t="n">
        <v>21</v>
      </c>
      <c r="F20" s="28" t="n">
        <v>6</v>
      </c>
      <c r="G20" s="85" t="n">
        <v>9</v>
      </c>
      <c r="H20" s="66" t="n">
        <v>189</v>
      </c>
    </row>
    <row r="21">
      <c r="A21" s="28" t="inlineStr">
        <is>
          <t>Vendredi</t>
        </is>
      </c>
      <c r="B21" s="28" t="inlineStr">
        <is>
          <t>Restauration</t>
        </is>
      </c>
      <c r="C21" s="28" t="inlineStr">
        <is>
          <t>Grande assiette franc-comtoise</t>
        </is>
      </c>
      <c r="D21" s="28" t="inlineStr">
        <is>
          <t>Plateau + frites</t>
        </is>
      </c>
      <c r="E21" s="28" t="n">
        <v>110</v>
      </c>
      <c r="F21" s="28" t="n">
        <v>8</v>
      </c>
      <c r="G21" s="85" t="n">
        <v>12</v>
      </c>
      <c r="H21" s="66" t="n">
        <v>1320</v>
      </c>
    </row>
    <row r="22">
      <c r="A22" s="28" t="inlineStr">
        <is>
          <t>Vendredi</t>
        </is>
      </c>
      <c r="B22" s="28" t="inlineStr">
        <is>
          <t>Restauration</t>
        </is>
      </c>
      <c r="C22" s="28" t="inlineStr">
        <is>
          <t>Grande assiette végétarienne</t>
        </is>
      </c>
      <c r="D22" s="28" t="inlineStr">
        <is>
          <t>Plateau + frites</t>
        </is>
      </c>
      <c r="E22" s="28" t="n">
        <v>47</v>
      </c>
      <c r="F22" s="28" t="n">
        <v>8</v>
      </c>
      <c r="G22" s="85" t="n">
        <v>12</v>
      </c>
      <c r="H22" s="66" t="n">
        <v>564</v>
      </c>
    </row>
    <row r="23">
      <c r="A23" s="28" t="inlineStr">
        <is>
          <t>Vendredi</t>
        </is>
      </c>
      <c r="B23" s="28" t="inlineStr">
        <is>
          <t>Consommables</t>
        </is>
      </c>
      <c r="C23" s="28" t="inlineStr">
        <is>
          <t>Consigne écocup non remboursée</t>
        </is>
      </c>
      <c r="D23" s="28" t="inlineStr">
        <is>
          <t>Jeton</t>
        </is>
      </c>
      <c r="E23" s="28" t="n">
        <v>41</v>
      </c>
      <c r="F23" s="28" t="n">
        <v>1</v>
      </c>
      <c r="G23" s="85" t="n">
        <v>1.5</v>
      </c>
      <c r="H23" s="66" t="n">
        <v>62</v>
      </c>
    </row>
    <row r="24">
      <c r="A24" s="20" t="inlineStr">
        <is>
          <t>Sous-total Vendredi</t>
        </is>
      </c>
      <c r="B24" s="20" t="n"/>
      <c r="C24" s="20" t="n"/>
      <c r="D24" s="20" t="n"/>
      <c r="E24" s="20" t="n"/>
      <c r="F24" s="20" t="n"/>
      <c r="G24" s="86" t="n"/>
      <c r="H24" s="67">
        <f>SUM(H6:H23)</f>
        <v/>
      </c>
    </row>
    <row r="25">
      <c r="A25" s="29" t="inlineStr">
        <is>
          <t>Samedi</t>
        </is>
      </c>
      <c r="B25" s="29" t="inlineStr">
        <is>
          <t>Buvette</t>
        </is>
      </c>
      <c r="C25" s="29" t="inlineStr">
        <is>
          <t>Bière blonde/blanche Le Pintadier</t>
        </is>
      </c>
      <c r="D25" s="29" t="inlineStr">
        <is>
          <t>Verre 25 cL</t>
        </is>
      </c>
      <c r="E25" s="29" t="n">
        <v>1150</v>
      </c>
      <c r="F25" s="29" t="n">
        <v>3</v>
      </c>
      <c r="G25" s="87" t="n">
        <v>4.5</v>
      </c>
      <c r="H25" s="68" t="n">
        <v>5175</v>
      </c>
    </row>
    <row r="26">
      <c r="A26" s="29" t="inlineStr">
        <is>
          <t>Samedi</t>
        </is>
      </c>
      <c r="B26" s="29" t="inlineStr">
        <is>
          <t>Buvette</t>
        </is>
      </c>
      <c r="C26" s="29" t="inlineStr">
        <is>
          <t>Vin Cubi Jura tradition</t>
        </is>
      </c>
      <c r="D26" s="29" t="inlineStr">
        <is>
          <t>Verre 25 cL</t>
        </is>
      </c>
      <c r="E26" s="29" t="n">
        <v>390</v>
      </c>
      <c r="F26" s="29" t="n">
        <v>3</v>
      </c>
      <c r="G26" s="87" t="n">
        <v>4.5</v>
      </c>
      <c r="H26" s="68" t="n">
        <v>1755</v>
      </c>
    </row>
    <row r="27">
      <c r="A27" s="29" t="inlineStr">
        <is>
          <t>Samedi</t>
        </is>
      </c>
      <c r="B27" s="29" t="inlineStr">
        <is>
          <t>Buvette</t>
        </is>
      </c>
      <c r="C27" s="29" t="inlineStr">
        <is>
          <t>Sirop dilué</t>
        </is>
      </c>
      <c r="D27" s="29" t="inlineStr">
        <is>
          <t>Verre 25 cL</t>
        </is>
      </c>
      <c r="E27" s="29" t="n">
        <v>634</v>
      </c>
      <c r="F27" s="29" t="n">
        <v>2</v>
      </c>
      <c r="G27" s="87" t="n">
        <v>3</v>
      </c>
      <c r="H27" s="68" t="n">
        <v>1902</v>
      </c>
    </row>
    <row r="28">
      <c r="A28" s="29" t="inlineStr">
        <is>
          <t>Samedi</t>
        </is>
      </c>
      <c r="B28" s="29" t="inlineStr">
        <is>
          <t>Buvette</t>
        </is>
      </c>
      <c r="C28" s="29" t="inlineStr">
        <is>
          <t>Jus de pomme Saveur de la Ferme</t>
        </is>
      </c>
      <c r="D28" s="29" t="inlineStr">
        <is>
          <t>Verre 25 cL</t>
        </is>
      </c>
      <c r="E28" s="29" t="n">
        <v>317</v>
      </c>
      <c r="F28" s="29" t="n">
        <v>2</v>
      </c>
      <c r="G28" s="87" t="n">
        <v>3</v>
      </c>
      <c r="H28" s="68" t="n">
        <v>951</v>
      </c>
    </row>
    <row r="29">
      <c r="A29" s="29" t="inlineStr">
        <is>
          <t>Samedi</t>
        </is>
      </c>
      <c r="B29" s="29" t="inlineStr">
        <is>
          <t>Buvette</t>
        </is>
      </c>
      <c r="C29" s="29" t="inlineStr">
        <is>
          <t>Mortuacienne (limonade)</t>
        </is>
      </c>
      <c r="D29" s="29" t="inlineStr">
        <is>
          <t>Verre 25 cL</t>
        </is>
      </c>
      <c r="E29" s="29" t="n">
        <v>127</v>
      </c>
      <c r="F29" s="29" t="n">
        <v>2</v>
      </c>
      <c r="G29" s="87" t="n">
        <v>3</v>
      </c>
      <c r="H29" s="68" t="n">
        <v>381</v>
      </c>
    </row>
    <row r="30">
      <c r="A30" s="29" t="inlineStr">
        <is>
          <t>Samedi</t>
        </is>
      </c>
      <c r="B30" s="29" t="inlineStr">
        <is>
          <t>Buvette</t>
        </is>
      </c>
      <c r="C30" s="29" t="inlineStr">
        <is>
          <t>Eau pétillante Bisontine</t>
        </is>
      </c>
      <c r="D30" s="29" t="inlineStr">
        <is>
          <t>Btl verre 1 L</t>
        </is>
      </c>
      <c r="E30" s="29" t="n">
        <v>32</v>
      </c>
      <c r="F30" s="29" t="n">
        <v>2</v>
      </c>
      <c r="G30" s="87" t="n">
        <v>3</v>
      </c>
      <c r="H30" s="68" t="n">
        <v>96</v>
      </c>
    </row>
    <row r="31">
      <c r="A31" s="29" t="inlineStr">
        <is>
          <t>Samedi</t>
        </is>
      </c>
      <c r="B31" s="29" t="inlineStr">
        <is>
          <t>Buvette</t>
        </is>
      </c>
      <c r="C31" s="29" t="inlineStr">
        <is>
          <t>Eau plate (BFC)</t>
        </is>
      </c>
      <c r="D31" s="29" t="inlineStr">
        <is>
          <t>Btl verre 1 L</t>
        </is>
      </c>
      <c r="E31" s="29" t="n">
        <v>32</v>
      </c>
      <c r="F31" s="29" t="n">
        <v>2</v>
      </c>
      <c r="G31" s="87" t="n">
        <v>3</v>
      </c>
      <c r="H31" s="68" t="n">
        <v>96</v>
      </c>
    </row>
    <row r="32">
      <c r="A32" s="29" t="inlineStr">
        <is>
          <t>Samedi</t>
        </is>
      </c>
      <c r="B32" s="29" t="inlineStr">
        <is>
          <t>Buvette</t>
        </is>
      </c>
      <c r="C32" s="29" t="inlineStr">
        <is>
          <t>Café moulu équitable BFC</t>
        </is>
      </c>
      <c r="D32" s="29" t="inlineStr">
        <is>
          <t>Verre 25 cL</t>
        </is>
      </c>
      <c r="E32" s="29" t="n">
        <v>240</v>
      </c>
      <c r="F32" s="29" t="n">
        <v>1</v>
      </c>
      <c r="G32" s="87" t="n">
        <v>1.5</v>
      </c>
      <c r="H32" s="68" t="n">
        <v>360</v>
      </c>
    </row>
    <row r="33">
      <c r="A33" s="29" t="inlineStr">
        <is>
          <t>Samedi</t>
        </is>
      </c>
      <c r="B33" s="29" t="inlineStr">
        <is>
          <t>Snacks</t>
        </is>
      </c>
      <c r="C33" s="29" t="inlineStr">
        <is>
          <t>Pop-corn</t>
        </is>
      </c>
      <c r="D33" s="29" t="inlineStr">
        <is>
          <t>Gobelet 72 cL</t>
        </is>
      </c>
      <c r="E33" s="29" t="n">
        <v>285</v>
      </c>
      <c r="F33" s="29" t="n">
        <v>1</v>
      </c>
      <c r="G33" s="87" t="n">
        <v>1.5</v>
      </c>
      <c r="H33" s="68" t="n">
        <v>428</v>
      </c>
    </row>
    <row r="34">
      <c r="A34" s="29" t="inlineStr">
        <is>
          <t>Samedi</t>
        </is>
      </c>
      <c r="B34" s="29" t="inlineStr">
        <is>
          <t>Snacks</t>
        </is>
      </c>
      <c r="C34" s="29" t="inlineStr">
        <is>
          <t>Frites (snack à part)</t>
        </is>
      </c>
      <c r="D34" s="29" t="inlineStr">
        <is>
          <t>Barquette kraft 150 g</t>
        </is>
      </c>
      <c r="E34" s="29" t="n">
        <v>240</v>
      </c>
      <c r="F34" s="29" t="n">
        <v>2</v>
      </c>
      <c r="G34" s="87" t="n">
        <v>3</v>
      </c>
      <c r="H34" s="68" t="n">
        <v>720</v>
      </c>
    </row>
    <row r="35">
      <c r="A35" s="29" t="inlineStr">
        <is>
          <t>Samedi</t>
        </is>
      </c>
      <c r="B35" s="29" t="inlineStr">
        <is>
          <t>Snacks</t>
        </is>
      </c>
      <c r="C35" s="29" t="inlineStr">
        <is>
          <t>Glace 1 boule</t>
        </is>
      </c>
      <c r="D35" s="29" t="inlineStr">
        <is>
          <t>Cornet gaufrette</t>
        </is>
      </c>
      <c r="E35" s="29" t="n">
        <v>243</v>
      </c>
      <c r="F35" s="29" t="n">
        <v>1</v>
      </c>
      <c r="G35" s="87" t="n">
        <v>1.5</v>
      </c>
      <c r="H35" s="68" t="n">
        <v>365</v>
      </c>
    </row>
    <row r="36">
      <c r="A36" s="29" t="inlineStr">
        <is>
          <t>Samedi</t>
        </is>
      </c>
      <c r="B36" s="29" t="inlineStr">
        <is>
          <t>Snacks</t>
        </is>
      </c>
      <c r="C36" s="29" t="inlineStr">
        <is>
          <t>Glace 2 boules</t>
        </is>
      </c>
      <c r="D36" s="29" t="inlineStr">
        <is>
          <t>Cornet gaufrette</t>
        </is>
      </c>
      <c r="E36" s="29" t="n">
        <v>162</v>
      </c>
      <c r="F36" s="29" t="n">
        <v>2</v>
      </c>
      <c r="G36" s="87" t="n">
        <v>3</v>
      </c>
      <c r="H36" s="68" t="n">
        <v>486</v>
      </c>
    </row>
    <row r="37">
      <c r="A37" s="29" t="inlineStr">
        <is>
          <t>Samedi</t>
        </is>
      </c>
      <c r="B37" s="29" t="inlineStr">
        <is>
          <t>Snacks</t>
        </is>
      </c>
      <c r="C37" s="29" t="inlineStr">
        <is>
          <t>Tomates cerise BRUNO</t>
        </is>
      </c>
      <c r="D37" s="29" t="inlineStr">
        <is>
          <t>Gobelet 25 cL (150 g)</t>
        </is>
      </c>
      <c r="E37" s="29" t="n">
        <v>290</v>
      </c>
      <c r="F37" s="29" t="n">
        <v>1</v>
      </c>
      <c r="G37" s="87" t="n">
        <v>1.5</v>
      </c>
      <c r="H37" s="68" t="n">
        <v>435</v>
      </c>
    </row>
    <row r="38">
      <c r="A38" s="29" t="inlineStr">
        <is>
          <t>Samedi</t>
        </is>
      </c>
      <c r="B38" s="29" t="inlineStr">
        <is>
          <t>Restauration</t>
        </is>
      </c>
      <c r="C38" s="29" t="inlineStr">
        <is>
          <t>Petite assiette franc-comtoise</t>
        </is>
      </c>
      <c r="D38" s="29" t="inlineStr">
        <is>
          <t>Plateau</t>
        </is>
      </c>
      <c r="E38" s="29" t="n">
        <v>137</v>
      </c>
      <c r="F38" s="29" t="n">
        <v>6</v>
      </c>
      <c r="G38" s="87" t="n">
        <v>9</v>
      </c>
      <c r="H38" s="68" t="n">
        <v>1233</v>
      </c>
    </row>
    <row r="39">
      <c r="A39" s="29" t="inlineStr">
        <is>
          <t>Samedi</t>
        </is>
      </c>
      <c r="B39" s="29" t="inlineStr">
        <is>
          <t>Restauration</t>
        </is>
      </c>
      <c r="C39" s="29" t="inlineStr">
        <is>
          <t>Petite assiette végétarienne</t>
        </is>
      </c>
      <c r="D39" s="29" t="inlineStr">
        <is>
          <t>Plateau</t>
        </is>
      </c>
      <c r="E39" s="29" t="n">
        <v>57</v>
      </c>
      <c r="F39" s="29" t="n">
        <v>6</v>
      </c>
      <c r="G39" s="87" t="n">
        <v>9</v>
      </c>
      <c r="H39" s="68" t="n">
        <v>513</v>
      </c>
    </row>
    <row r="40">
      <c r="A40" s="29" t="inlineStr">
        <is>
          <t>Samedi</t>
        </is>
      </c>
      <c r="B40" s="29" t="inlineStr">
        <is>
          <t>Restauration</t>
        </is>
      </c>
      <c r="C40" s="29" t="inlineStr">
        <is>
          <t>Grande assiette franc-comtoise</t>
        </is>
      </c>
      <c r="D40" s="29" t="inlineStr">
        <is>
          <t>Plateau + frites</t>
        </is>
      </c>
      <c r="E40" s="29" t="n">
        <v>319</v>
      </c>
      <c r="F40" s="29" t="n">
        <v>8</v>
      </c>
      <c r="G40" s="87" t="n">
        <v>12</v>
      </c>
      <c r="H40" s="68" t="n">
        <v>3828</v>
      </c>
    </row>
    <row r="41">
      <c r="A41" s="29" t="inlineStr">
        <is>
          <t>Samedi</t>
        </is>
      </c>
      <c r="B41" s="29" t="inlineStr">
        <is>
          <t>Restauration</t>
        </is>
      </c>
      <c r="C41" s="29" t="inlineStr">
        <is>
          <t>Grande assiette végétarienne</t>
        </is>
      </c>
      <c r="D41" s="29" t="inlineStr">
        <is>
          <t>Plateau + frites</t>
        </is>
      </c>
      <c r="E41" s="29" t="n">
        <v>137</v>
      </c>
      <c r="F41" s="29" t="n">
        <v>8</v>
      </c>
      <c r="G41" s="87" t="n">
        <v>12</v>
      </c>
      <c r="H41" s="68" t="n">
        <v>1644</v>
      </c>
    </row>
    <row r="42">
      <c r="A42" s="29" t="inlineStr">
        <is>
          <t>Samedi</t>
        </is>
      </c>
      <c r="B42" s="29" t="inlineStr">
        <is>
          <t>Consommables</t>
        </is>
      </c>
      <c r="C42" s="29" t="inlineStr">
        <is>
          <t>Consigne écocup non remboursée</t>
        </is>
      </c>
      <c r="D42" s="29" t="inlineStr">
        <is>
          <t>Jeton</t>
        </is>
      </c>
      <c r="E42" s="29" t="n">
        <v>118</v>
      </c>
      <c r="F42" s="29" t="n">
        <v>1</v>
      </c>
      <c r="G42" s="87" t="n">
        <v>1.5</v>
      </c>
      <c r="H42" s="68" t="n">
        <v>177</v>
      </c>
    </row>
    <row r="43">
      <c r="A43" s="20" t="inlineStr">
        <is>
          <t>Sous-total Samedi</t>
        </is>
      </c>
      <c r="B43" s="20" t="n"/>
      <c r="C43" s="20" t="n"/>
      <c r="D43" s="20" t="n"/>
      <c r="E43" s="20" t="n"/>
      <c r="F43" s="20" t="n"/>
      <c r="G43" s="86" t="n"/>
      <c r="H43" s="67">
        <f>SUM(H25:H42)</f>
        <v/>
      </c>
    </row>
    <row r="44">
      <c r="A44" s="30" t="inlineStr">
        <is>
          <t>Dimanche</t>
        </is>
      </c>
      <c r="B44" s="30" t="inlineStr">
        <is>
          <t>Buvette</t>
        </is>
      </c>
      <c r="C44" s="30" t="inlineStr">
        <is>
          <t>Bière blonde/blanche Le Pintadier</t>
        </is>
      </c>
      <c r="D44" s="30" t="inlineStr">
        <is>
          <t>Verre 25 cL</t>
        </is>
      </c>
      <c r="E44" s="30" t="n">
        <v>150</v>
      </c>
      <c r="F44" s="30" t="n">
        <v>3</v>
      </c>
      <c r="G44" s="88" t="n">
        <v>4.5</v>
      </c>
      <c r="H44" s="69" t="n">
        <v>675</v>
      </c>
    </row>
    <row r="45">
      <c r="A45" s="30" t="inlineStr">
        <is>
          <t>Dimanche</t>
        </is>
      </c>
      <c r="B45" s="30" t="inlineStr">
        <is>
          <t>Buvette</t>
        </is>
      </c>
      <c r="C45" s="30" t="inlineStr">
        <is>
          <t>Vin Cubi Jura tradition</t>
        </is>
      </c>
      <c r="D45" s="30" t="inlineStr">
        <is>
          <t>Verre 25 cL</t>
        </is>
      </c>
      <c r="E45" s="30" t="n">
        <v>68</v>
      </c>
      <c r="F45" s="30" t="n">
        <v>3</v>
      </c>
      <c r="G45" s="88" t="n">
        <v>4.5</v>
      </c>
      <c r="H45" s="69" t="n">
        <v>306</v>
      </c>
    </row>
    <row r="46">
      <c r="A46" s="30" t="inlineStr">
        <is>
          <t>Dimanche</t>
        </is>
      </c>
      <c r="B46" s="30" t="inlineStr">
        <is>
          <t>Buvette</t>
        </is>
      </c>
      <c r="C46" s="30" t="inlineStr">
        <is>
          <t>Sirop dilué</t>
        </is>
      </c>
      <c r="D46" s="30" t="inlineStr">
        <is>
          <t>Verre 25 cL</t>
        </is>
      </c>
      <c r="E46" s="30" t="n">
        <v>219</v>
      </c>
      <c r="F46" s="30" t="n">
        <v>2</v>
      </c>
      <c r="G46" s="88" t="n">
        <v>3</v>
      </c>
      <c r="H46" s="69" t="n">
        <v>657</v>
      </c>
    </row>
    <row r="47">
      <c r="A47" s="30" t="inlineStr">
        <is>
          <t>Dimanche</t>
        </is>
      </c>
      <c r="B47" s="30" t="inlineStr">
        <is>
          <t>Buvette</t>
        </is>
      </c>
      <c r="C47" s="30" t="inlineStr">
        <is>
          <t>Jus de pomme Saveur de la Ferme</t>
        </is>
      </c>
      <c r="D47" s="30" t="inlineStr">
        <is>
          <t>Verre 25 cL</t>
        </is>
      </c>
      <c r="E47" s="30" t="n">
        <v>110</v>
      </c>
      <c r="F47" s="30" t="n">
        <v>2</v>
      </c>
      <c r="G47" s="88" t="n">
        <v>3</v>
      </c>
      <c r="H47" s="69" t="n">
        <v>330</v>
      </c>
    </row>
    <row r="48">
      <c r="A48" s="30" t="inlineStr">
        <is>
          <t>Dimanche</t>
        </is>
      </c>
      <c r="B48" s="30" t="inlineStr">
        <is>
          <t>Buvette</t>
        </is>
      </c>
      <c r="C48" s="30" t="inlineStr">
        <is>
          <t>Mortuacienne (limonade)</t>
        </is>
      </c>
      <c r="D48" s="30" t="inlineStr">
        <is>
          <t>Verre 25 cL</t>
        </is>
      </c>
      <c r="E48" s="30" t="n">
        <v>44</v>
      </c>
      <c r="F48" s="30" t="n">
        <v>2</v>
      </c>
      <c r="G48" s="88" t="n">
        <v>3</v>
      </c>
      <c r="H48" s="69" t="n">
        <v>132</v>
      </c>
    </row>
    <row r="49">
      <c r="A49" s="30" t="inlineStr">
        <is>
          <t>Dimanche</t>
        </is>
      </c>
      <c r="B49" s="30" t="inlineStr">
        <is>
          <t>Buvette</t>
        </is>
      </c>
      <c r="C49" s="30" t="inlineStr">
        <is>
          <t>Eau pétillante Bisontine</t>
        </is>
      </c>
      <c r="D49" s="30" t="inlineStr">
        <is>
          <t>Btl verre 1 L</t>
        </is>
      </c>
      <c r="E49" s="30" t="n">
        <v>11</v>
      </c>
      <c r="F49" s="30" t="n">
        <v>2</v>
      </c>
      <c r="G49" s="88" t="n">
        <v>3</v>
      </c>
      <c r="H49" s="69" t="n">
        <v>33</v>
      </c>
    </row>
    <row r="50">
      <c r="A50" s="30" t="inlineStr">
        <is>
          <t>Dimanche</t>
        </is>
      </c>
      <c r="B50" s="30" t="inlineStr">
        <is>
          <t>Buvette</t>
        </is>
      </c>
      <c r="C50" s="30" t="inlineStr">
        <is>
          <t>Eau plate (BFC)</t>
        </is>
      </c>
      <c r="D50" s="30" t="inlineStr">
        <is>
          <t>Btl verre 1 L</t>
        </is>
      </c>
      <c r="E50" s="30" t="n">
        <v>11</v>
      </c>
      <c r="F50" s="30" t="n">
        <v>2</v>
      </c>
      <c r="G50" s="88" t="n">
        <v>3</v>
      </c>
      <c r="H50" s="69" t="n">
        <v>33</v>
      </c>
    </row>
    <row r="51">
      <c r="A51" s="30" t="inlineStr">
        <is>
          <t>Dimanche</t>
        </is>
      </c>
      <c r="B51" s="30" t="inlineStr">
        <is>
          <t>Buvette</t>
        </is>
      </c>
      <c r="C51" s="30" t="inlineStr">
        <is>
          <t>Café moulu équitable BFC</t>
        </is>
      </c>
      <c r="D51" s="30" t="inlineStr">
        <is>
          <t>Verre 25 cL</t>
        </is>
      </c>
      <c r="E51" s="30" t="n">
        <v>80</v>
      </c>
      <c r="F51" s="30" t="n">
        <v>1</v>
      </c>
      <c r="G51" s="88" t="n">
        <v>1.5</v>
      </c>
      <c r="H51" s="69" t="n">
        <v>120</v>
      </c>
    </row>
    <row r="52">
      <c r="A52" s="30" t="inlineStr">
        <is>
          <t>Dimanche</t>
        </is>
      </c>
      <c r="B52" s="30" t="inlineStr">
        <is>
          <t>Snacks</t>
        </is>
      </c>
      <c r="C52" s="30" t="inlineStr">
        <is>
          <t>Pop-corn</t>
        </is>
      </c>
      <c r="D52" s="30" t="inlineStr">
        <is>
          <t>Gobelet 72 cL</t>
        </is>
      </c>
      <c r="E52" s="30" t="n">
        <v>80</v>
      </c>
      <c r="F52" s="30" t="n">
        <v>1</v>
      </c>
      <c r="G52" s="88" t="n">
        <v>1.5</v>
      </c>
      <c r="H52" s="69" t="n">
        <v>120</v>
      </c>
    </row>
    <row r="53">
      <c r="A53" s="30" t="inlineStr">
        <is>
          <t>Dimanche</t>
        </is>
      </c>
      <c r="B53" s="30" t="inlineStr">
        <is>
          <t>Snacks</t>
        </is>
      </c>
      <c r="C53" s="30" t="inlineStr">
        <is>
          <t>Frites (snack à part)</t>
        </is>
      </c>
      <c r="D53" s="30" t="inlineStr">
        <is>
          <t>Barquette kraft 150 g</t>
        </is>
      </c>
      <c r="E53" s="30" t="n">
        <v>80</v>
      </c>
      <c r="F53" s="30" t="n">
        <v>2</v>
      </c>
      <c r="G53" s="88" t="n">
        <v>3</v>
      </c>
      <c r="H53" s="69" t="n">
        <v>240</v>
      </c>
    </row>
    <row r="54">
      <c r="A54" s="30" t="inlineStr">
        <is>
          <t>Dimanche</t>
        </is>
      </c>
      <c r="B54" s="30" t="inlineStr">
        <is>
          <t>Snacks</t>
        </is>
      </c>
      <c r="C54" s="30" t="inlineStr">
        <is>
          <t>Glace 1 boule</t>
        </is>
      </c>
      <c r="D54" s="30" t="inlineStr">
        <is>
          <t>Cornet gaufrette</t>
        </is>
      </c>
      <c r="E54" s="30" t="n">
        <v>62</v>
      </c>
      <c r="F54" s="30" t="n">
        <v>1</v>
      </c>
      <c r="G54" s="88" t="n">
        <v>1.5</v>
      </c>
      <c r="H54" s="69" t="n">
        <v>93</v>
      </c>
    </row>
    <row r="55">
      <c r="A55" s="30" t="inlineStr">
        <is>
          <t>Dimanche</t>
        </is>
      </c>
      <c r="B55" s="30" t="inlineStr">
        <is>
          <t>Snacks</t>
        </is>
      </c>
      <c r="C55" s="30" t="inlineStr">
        <is>
          <t>Glace 2 boules</t>
        </is>
      </c>
      <c r="D55" s="30" t="inlineStr">
        <is>
          <t>Cornet gaufrette</t>
        </is>
      </c>
      <c r="E55" s="30" t="n">
        <v>41</v>
      </c>
      <c r="F55" s="30" t="n">
        <v>2</v>
      </c>
      <c r="G55" s="88" t="n">
        <v>3</v>
      </c>
      <c r="H55" s="69" t="n">
        <v>123</v>
      </c>
    </row>
    <row r="56">
      <c r="A56" s="30" t="inlineStr">
        <is>
          <t>Dimanche</t>
        </is>
      </c>
      <c r="B56" s="30" t="inlineStr">
        <is>
          <t>Snacks</t>
        </is>
      </c>
      <c r="C56" s="30" t="inlineStr">
        <is>
          <t>Tomates cerise BRUNO</t>
        </is>
      </c>
      <c r="D56" s="30" t="inlineStr">
        <is>
          <t>Gobelet 25 cL (150 g)</t>
        </is>
      </c>
      <c r="E56" s="30" t="n">
        <v>110</v>
      </c>
      <c r="F56" s="30" t="n">
        <v>1</v>
      </c>
      <c r="G56" s="88" t="n">
        <v>1.5</v>
      </c>
      <c r="H56" s="69" t="n">
        <v>165</v>
      </c>
    </row>
    <row r="57">
      <c r="A57" s="30" t="inlineStr">
        <is>
          <t>Dimanche</t>
        </is>
      </c>
      <c r="B57" s="30" t="inlineStr">
        <is>
          <t>Restauration</t>
        </is>
      </c>
      <c r="C57" s="30" t="inlineStr">
        <is>
          <t>Petite assiette franc-comtoise</t>
        </is>
      </c>
      <c r="D57" s="30" t="inlineStr">
        <is>
          <t>Plateau</t>
        </is>
      </c>
      <c r="E57" s="30" t="n">
        <v>47</v>
      </c>
      <c r="F57" s="30" t="n">
        <v>6</v>
      </c>
      <c r="G57" s="88" t="n">
        <v>9</v>
      </c>
      <c r="H57" s="69" t="n">
        <v>423</v>
      </c>
    </row>
    <row r="58">
      <c r="A58" s="30" t="inlineStr">
        <is>
          <t>Dimanche</t>
        </is>
      </c>
      <c r="B58" s="30" t="inlineStr">
        <is>
          <t>Restauration</t>
        </is>
      </c>
      <c r="C58" s="30" t="inlineStr">
        <is>
          <t>Petite assiette végétarienne</t>
        </is>
      </c>
      <c r="D58" s="30" t="inlineStr">
        <is>
          <t>Plateau</t>
        </is>
      </c>
      <c r="E58" s="30" t="n">
        <v>21</v>
      </c>
      <c r="F58" s="30" t="n">
        <v>6</v>
      </c>
      <c r="G58" s="88" t="n">
        <v>9</v>
      </c>
      <c r="H58" s="69" t="n">
        <v>189</v>
      </c>
    </row>
    <row r="59">
      <c r="A59" s="30" t="inlineStr">
        <is>
          <t>Dimanche</t>
        </is>
      </c>
      <c r="B59" s="30" t="inlineStr">
        <is>
          <t>Restauration</t>
        </is>
      </c>
      <c r="C59" s="30" t="inlineStr">
        <is>
          <t>Grande assiette franc-comtoise</t>
        </is>
      </c>
      <c r="D59" s="30" t="inlineStr">
        <is>
          <t>Plateau + frites</t>
        </is>
      </c>
      <c r="E59" s="30" t="n">
        <v>110</v>
      </c>
      <c r="F59" s="30" t="n">
        <v>8</v>
      </c>
      <c r="G59" s="88" t="n">
        <v>12</v>
      </c>
      <c r="H59" s="69" t="n">
        <v>1320</v>
      </c>
    </row>
    <row r="60">
      <c r="A60" s="30" t="inlineStr">
        <is>
          <t>Dimanche</t>
        </is>
      </c>
      <c r="B60" s="30" t="inlineStr">
        <is>
          <t>Restauration</t>
        </is>
      </c>
      <c r="C60" s="30" t="inlineStr">
        <is>
          <t>Grande assiette végétarienne</t>
        </is>
      </c>
      <c r="D60" s="30" t="inlineStr">
        <is>
          <t>Plateau + frites</t>
        </is>
      </c>
      <c r="E60" s="30" t="n">
        <v>47</v>
      </c>
      <c r="F60" s="30" t="n">
        <v>8</v>
      </c>
      <c r="G60" s="88" t="n">
        <v>12</v>
      </c>
      <c r="H60" s="69" t="n">
        <v>564</v>
      </c>
    </row>
    <row r="61">
      <c r="A61" s="30" t="inlineStr">
        <is>
          <t>Dimanche</t>
        </is>
      </c>
      <c r="B61" s="30" t="inlineStr">
        <is>
          <t>Consommables</t>
        </is>
      </c>
      <c r="C61" s="30" t="inlineStr">
        <is>
          <t>Consigne écocup non remboursée</t>
        </is>
      </c>
      <c r="D61" s="30" t="inlineStr">
        <is>
          <t>Jeton</t>
        </is>
      </c>
      <c r="E61" s="30" t="n">
        <v>41</v>
      </c>
      <c r="F61" s="30" t="n">
        <v>1</v>
      </c>
      <c r="G61" s="88" t="n">
        <v>1.5</v>
      </c>
      <c r="H61" s="69" t="n">
        <v>62</v>
      </c>
    </row>
    <row r="62">
      <c r="A62" s="20" t="inlineStr">
        <is>
          <t>Sous-total Dimanche</t>
        </is>
      </c>
      <c r="B62" s="20" t="n"/>
      <c r="C62" s="20" t="n"/>
      <c r="D62" s="20" t="n"/>
      <c r="E62" s="20" t="n"/>
      <c r="F62" s="20" t="n"/>
      <c r="G62" s="86" t="n"/>
      <c r="H62" s="67">
        <f>SUM(H44:H61)</f>
        <v/>
      </c>
    </row>
    <row r="63" ht="15.6" customHeight="1" s="39">
      <c r="A63" s="31" t="inlineStr">
        <is>
          <t>TOTAL RECETTES F&amp;B</t>
        </is>
      </c>
      <c r="B63" s="31" t="n"/>
      <c r="C63" s="31" t="n"/>
      <c r="D63" s="31" t="n"/>
      <c r="E63" s="31" t="n"/>
      <c r="F63" s="31" t="n"/>
      <c r="G63" s="89" t="n"/>
      <c r="H63" s="70">
        <f>SUM(H6:H62)/2</f>
        <v/>
      </c>
    </row>
    <row r="65">
      <c r="A65" s="44" t="inlineStr">
        <is>
          <t>DÉPENSES — Détail par achat (achat unique, distinction Type / Catégorie / Mois)</t>
        </is>
      </c>
    </row>
    <row r="67">
      <c r="A67" s="18" t="inlineStr">
        <is>
          <t>Mois</t>
        </is>
      </c>
      <c r="B67" s="18" t="inlineStr">
        <is>
          <t>Type</t>
        </is>
      </c>
      <c r="C67" s="18" t="inlineStr">
        <is>
          <t>Catégorie</t>
        </is>
      </c>
      <c r="D67" s="18" t="inlineStr">
        <is>
          <t>Produit / Achat</t>
        </is>
      </c>
      <c r="E67" s="18" t="inlineStr">
        <is>
          <t>Quantité</t>
        </is>
      </c>
      <c r="F67" s="18" t="inlineStr">
        <is>
          <t>Unité</t>
        </is>
      </c>
      <c r="G67" s="84" t="inlineStr">
        <is>
          <t>Prix unit €</t>
        </is>
      </c>
      <c r="H67" s="65" t="inlineStr">
        <is>
          <t>Coût total €</t>
        </is>
      </c>
      <c r="I67" s="18" t="inlineStr">
        <is>
          <t>Fournisseur</t>
        </is>
      </c>
      <c r="J67" s="18" t="inlineStr">
        <is>
          <t>Note</t>
        </is>
      </c>
    </row>
    <row r="68">
      <c r="A68" s="32" t="inlineStr">
        <is>
          <t>Juin</t>
        </is>
      </c>
      <c r="B68" s="32" t="inlineStr">
        <is>
          <t>Invest</t>
        </is>
      </c>
      <c r="C68" s="32" t="inlineStr">
        <is>
          <t>Vaisselle réutilisable</t>
        </is>
      </c>
      <c r="D68" s="32" t="inlineStr">
        <is>
          <t>Écocups réutilisables PP 25 cL</t>
        </is>
      </c>
      <c r="E68" s="32" t="n">
        <v>1000</v>
      </c>
      <c r="F68" s="32" t="inlineStr">
        <is>
          <t>unités</t>
        </is>
      </c>
      <c r="G68" s="90" t="n">
        <v>0.6</v>
      </c>
      <c r="H68" s="71" t="n">
        <v>600</v>
      </c>
      <c r="I68" s="32" t="inlineStr">
        <is>
          <t>Atomic</t>
        </is>
      </c>
      <c r="J68" s="32" t="inlineStr">
        <is>
          <t>Délai livraison ~3 sem · réutilisable édition 2027+</t>
        </is>
      </c>
    </row>
    <row r="69">
      <c r="A69" s="32" t="inlineStr">
        <is>
          <t>Juin</t>
        </is>
      </c>
      <c r="B69" s="32" t="inlineStr">
        <is>
          <t>Invest</t>
        </is>
      </c>
      <c r="C69" s="32" t="inlineStr">
        <is>
          <t>Caisse / paiement</t>
        </is>
      </c>
      <c r="D69" s="32" t="inlineStr">
        <is>
          <t>Jetons flousy ~5000 unités (mix 1/2/5/10)</t>
        </is>
      </c>
      <c r="E69" s="32" t="n">
        <v>5000</v>
      </c>
      <c r="F69" s="32" t="inlineStr">
        <is>
          <t>unités</t>
        </is>
      </c>
      <c r="G69" s="90" t="n">
        <v>0.08</v>
      </c>
      <c r="H69" s="71" t="n">
        <v>400</v>
      </c>
      <c r="I69" s="32" t="inlineStr">
        <is>
          <t>jeton-monnaie.fr ou gravoplaque.com</t>
        </is>
      </c>
      <c r="J69" s="32" t="inlineStr">
        <is>
          <t>{1×2000, 2×1000, 5×1500, 10×500}</t>
        </is>
      </c>
    </row>
    <row r="70">
      <c r="A70" s="33" t="inlineStr">
        <is>
          <t>Juin</t>
        </is>
      </c>
      <c r="B70" s="33" t="inlineStr">
        <is>
          <t>Fixe</t>
        </is>
      </c>
      <c r="C70" s="33" t="inlineStr">
        <is>
          <t>Équipement loué</t>
        </is>
      </c>
      <c r="D70" s="33" t="inlineStr">
        <is>
          <t>Acompte 30% machine pop-corn (location)</t>
        </is>
      </c>
      <c r="E70" s="33" t="n">
        <v>1</v>
      </c>
      <c r="F70" s="33" t="inlineStr">
        <is>
          <t>forfait</t>
        </is>
      </c>
      <c r="G70" s="91" t="n">
        <v>80</v>
      </c>
      <c r="H70" s="72" t="n">
        <v>80</v>
      </c>
      <c r="I70" s="33" t="inlineStr">
        <is>
          <t>À finaliser</t>
        </is>
      </c>
      <c r="J70" s="33" t="inlineStr">
        <is>
          <t>Solde 172 € en août</t>
        </is>
      </c>
    </row>
    <row r="71">
      <c r="A71" s="33" t="inlineStr">
        <is>
          <t>Juillet</t>
        </is>
      </c>
      <c r="B71" s="33" t="inlineStr">
        <is>
          <t>Fixe</t>
        </is>
      </c>
      <c r="C71" s="33" t="inlineStr">
        <is>
          <t>HACCP</t>
        </is>
      </c>
      <c r="D71" s="33" t="inlineStr">
        <is>
          <t>Tablier + charlotte + gants jetables + sonde T° + désinfectant</t>
        </is>
      </c>
      <c r="E71" s="33" t="n">
        <v>1</v>
      </c>
      <c r="F71" s="33" t="inlineStr">
        <is>
          <t>kit</t>
        </is>
      </c>
      <c r="G71" s="91" t="n">
        <v>80</v>
      </c>
      <c r="H71" s="72" t="n">
        <v>80</v>
      </c>
      <c r="I71" s="33" t="inlineStr">
        <is>
          <t>Metro / fournisseur HoReCa</t>
        </is>
      </c>
      <c r="J71" s="33" t="inlineStr">
        <is>
          <t>Obligation cuisson frites</t>
        </is>
      </c>
    </row>
    <row r="72">
      <c r="A72" s="33" t="inlineStr">
        <is>
          <t>Juillet</t>
        </is>
      </c>
      <c r="B72" s="33" t="inlineStr">
        <is>
          <t>Fixe</t>
        </is>
      </c>
      <c r="C72" s="33" t="inlineStr">
        <is>
          <t>Caisse / Admin</t>
        </is>
      </c>
      <c r="D72" s="33" t="inlineStr">
        <is>
          <t>Caisse + fond de caisse 300 € + ustensiles préparation</t>
        </is>
      </c>
      <c r="E72" s="33" t="n">
        <v>1</v>
      </c>
      <c r="F72" s="33" t="inlineStr">
        <is>
          <t>kit</t>
        </is>
      </c>
      <c r="G72" s="91" t="n">
        <v>280</v>
      </c>
      <c r="H72" s="72" t="n">
        <v>280</v>
      </c>
      <c r="I72" s="33" t="inlineStr">
        <is>
          <t>Divers</t>
        </is>
      </c>
      <c r="J72" s="33" t="inlineStr">
        <is>
          <t>Espèces + planche + couteaux + plateaux</t>
        </is>
      </c>
    </row>
    <row r="73">
      <c r="A73" s="33" t="inlineStr">
        <is>
          <t>Juillet</t>
        </is>
      </c>
      <c r="B73" s="33" t="inlineStr">
        <is>
          <t>Fixe</t>
        </is>
      </c>
      <c r="C73" s="33" t="inlineStr">
        <is>
          <t>HACCP</t>
        </is>
      </c>
      <c r="D73" s="33" t="inlineStr">
        <is>
          <t>Trousse premiers secours buvette</t>
        </is>
      </c>
      <c r="E73" s="33" t="n">
        <v>1</v>
      </c>
      <c r="F73" s="33" t="inlineStr">
        <is>
          <t>kit</t>
        </is>
      </c>
      <c r="G73" s="91" t="n">
        <v>30</v>
      </c>
      <c r="H73" s="72" t="n">
        <v>30</v>
      </c>
      <c r="I73" s="33" t="inlineStr">
        <is>
          <t>Pharmacie</t>
        </is>
      </c>
      <c r="J73" s="33" t="inlineStr">
        <is>
          <t>Obligation</t>
        </is>
      </c>
    </row>
    <row r="74">
      <c r="A74" s="33" t="inlineStr">
        <is>
          <t>Juillet</t>
        </is>
      </c>
      <c r="B74" s="33" t="inlineStr">
        <is>
          <t>Fixe</t>
        </is>
      </c>
      <c r="C74" s="33" t="inlineStr">
        <is>
          <t>Caisse / Admin</t>
        </is>
      </c>
      <c r="D74" s="33" t="inlineStr">
        <is>
          <t>Affichage prix (ardoises grand format + marqueurs)</t>
        </is>
      </c>
      <c r="E74" s="33" t="n">
        <v>1</v>
      </c>
      <c r="F74" s="33" t="inlineStr">
        <is>
          <t>lot</t>
        </is>
      </c>
      <c r="G74" s="91" t="n">
        <v>30</v>
      </c>
      <c r="H74" s="72" t="n">
        <v>30</v>
      </c>
      <c r="I74" s="33" t="inlineStr">
        <is>
          <t>Cultura / Bureau Vallée</t>
        </is>
      </c>
      <c r="J74" s="33" t="inlineStr">
        <is>
          <t>Bar + Restauration + allergènes</t>
        </is>
      </c>
    </row>
    <row r="75">
      <c r="A75" s="33" t="inlineStr">
        <is>
          <t>Juillet</t>
        </is>
      </c>
      <c r="B75" s="33" t="inlineStr">
        <is>
          <t>Fixe</t>
        </is>
      </c>
      <c r="C75" s="33" t="inlineStr">
        <is>
          <t>HACCP</t>
        </is>
      </c>
      <c r="D75" s="33" t="inlineStr">
        <is>
          <t>Sacs poubelles tri (verre/biodéchets/OMR) + bidon huile usagée</t>
        </is>
      </c>
      <c r="E75" s="33" t="n">
        <v>1</v>
      </c>
      <c r="F75" s="33" t="inlineStr">
        <is>
          <t>lot</t>
        </is>
      </c>
      <c r="G75" s="91" t="n">
        <v>70</v>
      </c>
      <c r="H75" s="72" t="n">
        <v>70</v>
      </c>
      <c r="I75" s="33" t="inlineStr">
        <is>
          <t>Metro</t>
        </is>
      </c>
      <c r="J75" s="33" t="inlineStr">
        <is>
          <t>Tri sélectif charte éthique</t>
        </is>
      </c>
    </row>
    <row r="76">
      <c r="A76" s="33" t="inlineStr">
        <is>
          <t>Juillet</t>
        </is>
      </c>
      <c r="B76" s="33" t="inlineStr">
        <is>
          <t>Fixe</t>
        </is>
      </c>
      <c r="C76" s="33" t="inlineStr">
        <is>
          <t>Vaisselle bio jetable</t>
        </is>
      </c>
      <c r="D76" s="33" t="inlineStr">
        <is>
          <t>Vaisselle bio jetable globale (gobelets + assiettes + cuillères + serviettes + barquettes)</t>
        </is>
      </c>
      <c r="E76" s="33" t="n">
        <v>1</v>
      </c>
      <c r="F76" s="33" t="inlineStr">
        <is>
          <t>lot</t>
        </is>
      </c>
      <c r="G76" s="91" t="n">
        <v>319</v>
      </c>
      <c r="H76" s="72" t="n">
        <v>319</v>
      </c>
      <c r="I76" s="33" t="inlineStr">
        <is>
          <t>Cdiscount Pro / Vegware</t>
        </is>
      </c>
      <c r="J76" s="33" t="inlineStr">
        <is>
          <t>Détail composition voir Calibrage_buvette_2026.md</t>
        </is>
      </c>
    </row>
    <row r="77">
      <c r="A77" s="33" t="inlineStr">
        <is>
          <t>Août</t>
        </is>
      </c>
      <c r="B77" s="33" t="inlineStr">
        <is>
          <t>Fixe</t>
        </is>
      </c>
      <c r="C77" s="33" t="inlineStr">
        <is>
          <t>Équipement loué</t>
        </is>
      </c>
      <c r="D77" s="33" t="inlineStr">
        <is>
          <t>Solde 70% machine pop-corn</t>
        </is>
      </c>
      <c r="E77" s="33" t="n">
        <v>1</v>
      </c>
      <c r="F77" s="33" t="inlineStr">
        <is>
          <t>forfait</t>
        </is>
      </c>
      <c r="G77" s="91" t="n">
        <v>172</v>
      </c>
      <c r="H77" s="72" t="n">
        <v>172</v>
      </c>
      <c r="I77" s="33" t="inlineStr">
        <is>
          <t>À finaliser</t>
        </is>
      </c>
      <c r="J77" s="33" t="inlineStr">
        <is>
          <t>Au montage J-1</t>
        </is>
      </c>
    </row>
    <row r="78">
      <c r="A78" s="33" t="inlineStr">
        <is>
          <t>Août</t>
        </is>
      </c>
      <c r="B78" s="33" t="inlineStr">
        <is>
          <t>Fixe</t>
        </is>
      </c>
      <c r="C78" s="33" t="inlineStr">
        <is>
          <t>Équipement loué</t>
        </is>
      </c>
      <c r="D78" s="33" t="inlineStr">
        <is>
          <t>Percolateurs 4 × 10 L</t>
        </is>
      </c>
      <c r="E78" s="33" t="n">
        <v>4</v>
      </c>
      <c r="F78" s="33" t="inlineStr">
        <is>
          <t>unités</t>
        </is>
      </c>
      <c r="G78" s="91" t="n">
        <v>86.2</v>
      </c>
      <c r="H78" s="72" t="n">
        <v>345</v>
      </c>
      <c r="I78" s="33" t="inlineStr">
        <is>
          <t>ABC LOCATION</t>
        </is>
      </c>
      <c r="J78" s="33" t="inlineStr">
        <is>
          <t>Capacité 320 cafés/tournée</t>
        </is>
      </c>
    </row>
    <row r="79">
      <c r="A79" s="33" t="inlineStr">
        <is>
          <t>Août</t>
        </is>
      </c>
      <c r="B79" s="33" t="inlineStr">
        <is>
          <t>Fixe</t>
        </is>
      </c>
      <c r="C79" s="33" t="inlineStr">
        <is>
          <t>Équipement loué</t>
        </is>
      </c>
      <c r="D79" s="33" t="inlineStr">
        <is>
          <t>Friteuses pro × 2</t>
        </is>
      </c>
      <c r="E79" s="33" t="n">
        <v>2</v>
      </c>
      <c r="F79" s="33" t="inlineStr">
        <is>
          <t>unités</t>
        </is>
      </c>
      <c r="G79" s="91" t="n">
        <v>86.2</v>
      </c>
      <c r="H79" s="72" t="n">
        <v>172</v>
      </c>
      <c r="I79" s="33" t="inlineStr">
        <is>
          <t>ABC LOCATION</t>
        </is>
      </c>
      <c r="J79" s="33" t="inlineStr">
        <is>
          <t>~2-3 tournées/heure samedi</t>
        </is>
      </c>
    </row>
    <row r="80">
      <c r="A80" s="33" t="inlineStr">
        <is>
          <t>Août</t>
        </is>
      </c>
      <c r="B80" s="33" t="inlineStr">
        <is>
          <t>Fixe</t>
        </is>
      </c>
      <c r="C80" s="33" t="inlineStr">
        <is>
          <t>Équipement loué</t>
        </is>
      </c>
      <c r="D80" s="33" t="inlineStr">
        <is>
          <t>Eau gratuite : 2-3 fontaines + carafes/pichets</t>
        </is>
      </c>
      <c r="E80" s="33" t="n">
        <v>1</v>
      </c>
      <c r="F80" s="33" t="inlineStr">
        <is>
          <t>lot</t>
        </is>
      </c>
      <c r="G80" s="91" t="n">
        <v>400</v>
      </c>
      <c r="H80" s="72" t="n">
        <v>400</v>
      </c>
      <c r="I80" s="33" t="inlineStr">
        <is>
          <t>Loca-Buffet / Loxam / Kiloutou</t>
        </is>
      </c>
      <c r="J80" s="33" t="inlineStr">
        <is>
          <t>Charte éthique + obligation bénévoles</t>
        </is>
      </c>
    </row>
    <row r="81">
      <c r="A81" s="33" t="inlineStr">
        <is>
          <t>Août</t>
        </is>
      </c>
      <c r="B81" s="33" t="inlineStr">
        <is>
          <t>Fixe</t>
        </is>
      </c>
      <c r="C81" s="33" t="inlineStr">
        <is>
          <t>HACCP</t>
        </is>
      </c>
      <c r="D81" s="33" t="inlineStr">
        <is>
          <t>Lavage écocups (produit vaisselle pro + brosses + éponges)</t>
        </is>
      </c>
      <c r="E81" s="33" t="n">
        <v>1</v>
      </c>
      <c r="F81" s="33" t="inlineStr">
        <is>
          <t>lot</t>
        </is>
      </c>
      <c r="G81" s="91" t="n">
        <v>50</v>
      </c>
      <c r="H81" s="72" t="n">
        <v>50</v>
      </c>
      <c r="I81" s="33" t="inlineStr">
        <is>
          <t>Metro / fournisseur HoReCa</t>
        </is>
      </c>
      <c r="J81" s="33" t="inlineStr">
        <is>
          <t>Stand rinçage rapide près du bar</t>
        </is>
      </c>
    </row>
    <row r="82">
      <c r="A82" s="34" t="inlineStr">
        <is>
          <t>Août</t>
        </is>
      </c>
      <c r="B82" s="34" t="inlineStr">
        <is>
          <t>Variable</t>
        </is>
      </c>
      <c r="C82" s="34" t="inlineStr">
        <is>
          <t>Boisson - Bière</t>
        </is>
      </c>
      <c r="D82" s="34" t="inlineStr">
        <is>
          <t>Bière blonde+blanche fûts 40 L (commande initiale ferme)</t>
        </is>
      </c>
      <c r="E82" s="34" t="n">
        <v>10</v>
      </c>
      <c r="F82" s="34" t="inlineStr">
        <is>
          <t>fûts</t>
        </is>
      </c>
      <c r="G82" s="92" t="n">
        <v>80</v>
      </c>
      <c r="H82" s="73" t="n">
        <v>800</v>
      </c>
      <c r="I82" s="34" t="inlineStr">
        <is>
          <t>Le Pintadier</t>
        </is>
      </c>
      <c r="J82" s="34" t="inlineStr">
        <is>
          <t>1600 verres · réassort 5 fûts décision Ven soir</t>
        </is>
      </c>
    </row>
    <row r="83">
      <c r="A83" s="34" t="inlineStr">
        <is>
          <t>Août</t>
        </is>
      </c>
      <c r="B83" s="34" t="inlineStr">
        <is>
          <t>Variable</t>
        </is>
      </c>
      <c r="C83" s="34" t="inlineStr">
        <is>
          <t>Boisson - Vin</t>
        </is>
      </c>
      <c r="D83" s="34" t="inlineStr">
        <is>
          <t>Vin Cubi Jura tradition 5 L (prix négocié)</t>
        </is>
      </c>
      <c r="E83" s="34" t="n">
        <v>29</v>
      </c>
      <c r="F83" s="34" t="inlineStr">
        <is>
          <t>cubis</t>
        </is>
      </c>
      <c r="G83" s="92" t="n">
        <v>50</v>
      </c>
      <c r="H83" s="73" t="n">
        <v>1450</v>
      </c>
      <c r="I83" s="34" t="inlineStr">
        <is>
          <t>Hyper Boisson</t>
        </is>
      </c>
      <c r="J83" s="34" t="inlineStr">
        <is>
          <t>580 verres · prix à confirmer</t>
        </is>
      </c>
    </row>
    <row r="84">
      <c r="A84" s="34" t="inlineStr">
        <is>
          <t>Août</t>
        </is>
      </c>
      <c r="B84" s="34" t="inlineStr">
        <is>
          <t>Variable</t>
        </is>
      </c>
      <c r="C84" s="34" t="inlineStr">
        <is>
          <t>Boisson - Soft</t>
        </is>
      </c>
      <c r="D84" s="34" t="inlineStr">
        <is>
          <t>Sirop dilué (parfums grenadine/menthe/citron à préciser)</t>
        </is>
      </c>
      <c r="E84" s="34" t="n">
        <v>50</v>
      </c>
      <c r="F84" s="34" t="inlineStr">
        <is>
          <t>L (estim.)</t>
        </is>
      </c>
      <c r="G84" s="92" t="n">
        <v>6.5</v>
      </c>
      <c r="H84" s="73" t="n">
        <v>300</v>
      </c>
      <c r="I84" s="34" t="inlineStr">
        <is>
          <t>Hyper Boisson</t>
        </is>
      </c>
      <c r="J84" s="34" t="inlineStr">
        <is>
          <t>1000 verres dilués</t>
        </is>
      </c>
    </row>
    <row r="85">
      <c r="A85" s="34" t="inlineStr">
        <is>
          <t>Août</t>
        </is>
      </c>
      <c r="B85" s="34" t="inlineStr">
        <is>
          <t>Variable</t>
        </is>
      </c>
      <c r="C85" s="34" t="inlineStr">
        <is>
          <t>Boisson - Soft</t>
        </is>
      </c>
      <c r="D85" s="34" t="inlineStr">
        <is>
          <t>Jus de pomme local poche 3 L</t>
        </is>
      </c>
      <c r="E85" s="34" t="n">
        <v>21</v>
      </c>
      <c r="F85" s="34" t="inlineStr">
        <is>
          <t>poches</t>
        </is>
      </c>
      <c r="G85" s="92" t="n">
        <v>8.4</v>
      </c>
      <c r="H85" s="73" t="n">
        <v>176</v>
      </c>
      <c r="I85" s="34" t="inlineStr">
        <is>
          <t>Saveur de la Ferme</t>
        </is>
      </c>
      <c r="J85" s="34" t="inlineStr">
        <is>
          <t>Pour 500 verres (à recouper)</t>
        </is>
      </c>
    </row>
    <row r="86">
      <c r="A86" s="34" t="inlineStr">
        <is>
          <t>Août</t>
        </is>
      </c>
      <c r="B86" s="34" t="inlineStr">
        <is>
          <t>Variable</t>
        </is>
      </c>
      <c r="C86" s="34" t="inlineStr">
        <is>
          <t>Boisson - Soft</t>
        </is>
      </c>
      <c r="D86" s="34" t="inlineStr">
        <is>
          <t>Mortuacienne btl verre 1 L (vendue au verre)</t>
        </is>
      </c>
      <c r="E86" s="34" t="n">
        <v>50</v>
      </c>
      <c r="F86" s="34" t="inlineStr">
        <is>
          <t>btl</t>
        </is>
      </c>
      <c r="G86" s="92" t="n">
        <v>1.16</v>
      </c>
      <c r="H86" s="73" t="n">
        <v>58</v>
      </c>
      <c r="I86" s="34" t="inlineStr">
        <is>
          <t>Hyper Boisson</t>
        </is>
      </c>
      <c r="J86" s="34" t="inlineStr">
        <is>
          <t>200 verres</t>
        </is>
      </c>
    </row>
    <row r="87">
      <c r="A87" s="34" t="inlineStr">
        <is>
          <t>Août</t>
        </is>
      </c>
      <c r="B87" s="34" t="inlineStr">
        <is>
          <t>Variable</t>
        </is>
      </c>
      <c r="C87" s="34" t="inlineStr">
        <is>
          <t>Boisson - Soft</t>
        </is>
      </c>
      <c r="D87" s="34" t="inlineStr">
        <is>
          <t>Eau pétillante Bisontine btl verre 1 L</t>
        </is>
      </c>
      <c r="E87" s="34" t="n">
        <v>50</v>
      </c>
      <c r="F87" s="34" t="inlineStr">
        <is>
          <t>btl</t>
        </is>
      </c>
      <c r="G87" s="92" t="n">
        <v>0.7</v>
      </c>
      <c r="H87" s="73" t="n">
        <v>35</v>
      </c>
      <c r="I87" s="34" t="inlineStr">
        <is>
          <t>Hyper Boisson</t>
        </is>
      </c>
      <c r="J87" s="34" t="inlineStr">
        <is>
          <t>Vendue entière + consigne 1 fl</t>
        </is>
      </c>
    </row>
    <row r="88">
      <c r="A88" s="34" t="inlineStr">
        <is>
          <t>Août</t>
        </is>
      </c>
      <c r="B88" s="34" t="inlineStr">
        <is>
          <t>Variable</t>
        </is>
      </c>
      <c r="C88" s="34" t="inlineStr">
        <is>
          <t>Boisson - Soft</t>
        </is>
      </c>
      <c r="D88" s="34" t="inlineStr">
        <is>
          <t>Eau plate btl verre 1 L (à sourcer)</t>
        </is>
      </c>
      <c r="E88" s="34" t="n">
        <v>50</v>
      </c>
      <c r="F88" s="34" t="inlineStr">
        <is>
          <t>btl</t>
        </is>
      </c>
      <c r="G88" s="92" t="n">
        <v>0.65</v>
      </c>
      <c r="H88" s="73" t="n">
        <v>32</v>
      </c>
      <c r="I88" s="34" t="inlineStr">
        <is>
          <t>Velleminfroy / Saint-Antonin (à confirmer)</t>
        </is>
      </c>
      <c r="J88" s="34" t="inlineStr">
        <is>
          <t>Vendue entière + consigne 1 fl</t>
        </is>
      </c>
    </row>
    <row r="89">
      <c r="A89" s="34" t="inlineStr">
        <is>
          <t>Août</t>
        </is>
      </c>
      <c r="B89" s="34" t="inlineStr">
        <is>
          <t>Variable</t>
        </is>
      </c>
      <c r="C89" s="34" t="inlineStr">
        <is>
          <t>Boisson - Café</t>
        </is>
      </c>
      <c r="D89" s="34" t="inlineStr">
        <is>
          <t>Café moulu équitable BFC</t>
        </is>
      </c>
      <c r="E89" s="34" t="n">
        <v>3</v>
      </c>
      <c r="F89" s="34" t="inlineStr">
        <is>
          <t>kg</t>
        </is>
      </c>
      <c r="G89" s="92" t="n">
        <v>15</v>
      </c>
      <c r="H89" s="73" t="n">
        <v>45</v>
      </c>
      <c r="I89" s="34" t="inlineStr">
        <is>
          <t>Torréfacteur BFC à sourcer</t>
        </is>
      </c>
      <c r="J89" s="34" t="inlineStr">
        <is>
          <t>7 g/tasse, 360 cafés</t>
        </is>
      </c>
    </row>
    <row r="90">
      <c r="A90" s="34" t="inlineStr">
        <is>
          <t>Août</t>
        </is>
      </c>
      <c r="B90" s="34" t="inlineStr">
        <is>
          <t>Variable</t>
        </is>
      </c>
      <c r="C90" s="34" t="inlineStr">
        <is>
          <t>Boisson - Café</t>
        </is>
      </c>
      <c r="D90" s="34" t="inlineStr">
        <is>
          <t>Sucre sticks</t>
        </is>
      </c>
      <c r="E90" s="34" t="n">
        <v>360</v>
      </c>
      <c r="F90" s="34" t="inlineStr">
        <is>
          <t>sticks</t>
        </is>
      </c>
      <c r="G90" s="92" t="n">
        <v>0.03</v>
      </c>
      <c r="H90" s="73" t="n">
        <v>11</v>
      </c>
      <c r="I90" s="34" t="inlineStr">
        <is>
          <t>Metro</t>
        </is>
      </c>
      <c r="J90" s="34" t="n"/>
    </row>
    <row r="91">
      <c r="A91" s="34" t="inlineStr">
        <is>
          <t>Août</t>
        </is>
      </c>
      <c r="B91" s="34" t="inlineStr">
        <is>
          <t>Variable</t>
        </is>
      </c>
      <c r="C91" s="34" t="inlineStr">
        <is>
          <t>Boisson - Café</t>
        </is>
      </c>
      <c r="D91" s="34" t="inlineStr">
        <is>
          <t>Lait UHT mini-portions</t>
        </is>
      </c>
      <c r="E91" s="34" t="n">
        <v>250</v>
      </c>
      <c r="F91" s="34" t="inlineStr">
        <is>
          <t>portions</t>
        </is>
      </c>
      <c r="G91" s="92" t="n">
        <v>0.1</v>
      </c>
      <c r="H91" s="73" t="n">
        <v>25</v>
      </c>
      <c r="I91" s="34" t="inlineStr">
        <is>
          <t>Metro</t>
        </is>
      </c>
      <c r="J91" s="34" t="n"/>
    </row>
    <row r="92">
      <c r="A92" s="34" t="inlineStr">
        <is>
          <t>Août</t>
        </is>
      </c>
      <c r="B92" s="34" t="inlineStr">
        <is>
          <t>Variable</t>
        </is>
      </c>
      <c r="C92" s="34" t="inlineStr">
        <is>
          <t>Boisson - Café</t>
        </is>
      </c>
      <c r="D92" s="34" t="inlineStr">
        <is>
          <t>Mélangeurs bois</t>
        </is>
      </c>
      <c r="E92" s="34" t="n">
        <v>360</v>
      </c>
      <c r="F92" s="34" t="inlineStr">
        <is>
          <t>unités</t>
        </is>
      </c>
      <c r="G92" s="92" t="n">
        <v>0.02</v>
      </c>
      <c r="H92" s="73" t="n">
        <v>7</v>
      </c>
      <c r="I92" s="34" t="inlineStr">
        <is>
          <t>Metro</t>
        </is>
      </c>
      <c r="J92" s="34" t="n"/>
    </row>
    <row r="93">
      <c r="A93" s="34" t="inlineStr">
        <is>
          <t>Août</t>
        </is>
      </c>
      <c r="B93" s="34" t="inlineStr">
        <is>
          <t>Variable</t>
        </is>
      </c>
      <c r="C93" s="34" t="inlineStr">
        <is>
          <t>Boisson - Bar</t>
        </is>
      </c>
      <c r="D93" s="34" t="inlineStr">
        <is>
          <t>Sucre bar additionnel + glace pilée bar</t>
        </is>
      </c>
      <c r="E93" s="34" t="n">
        <v>1</v>
      </c>
      <c r="F93" s="34" t="inlineStr">
        <is>
          <t>lot</t>
        </is>
      </c>
      <c r="G93" s="92" t="n">
        <v>60</v>
      </c>
      <c r="H93" s="73" t="n">
        <v>60</v>
      </c>
      <c r="I93" s="34" t="inlineStr">
        <is>
          <t>Metro</t>
        </is>
      </c>
      <c r="J93" s="34" t="n"/>
    </row>
    <row r="94">
      <c r="A94" s="34" t="inlineStr">
        <is>
          <t>Août</t>
        </is>
      </c>
      <c r="B94" s="34" t="inlineStr">
        <is>
          <t>Variable</t>
        </is>
      </c>
      <c r="C94" s="34" t="inlineStr">
        <is>
          <t>Snack - Pop-corn</t>
        </is>
      </c>
      <c r="D94" s="34" t="inlineStr">
        <is>
          <t>Maïs pop-corn</t>
        </is>
      </c>
      <c r="E94" s="34" t="n">
        <v>10</v>
      </c>
      <c r="F94" s="34" t="inlineStr">
        <is>
          <t>kg</t>
        </is>
      </c>
      <c r="G94" s="92" t="n">
        <v>1.5</v>
      </c>
      <c r="H94" s="73" t="n">
        <v>15</v>
      </c>
      <c r="I94" s="34" t="inlineStr">
        <is>
          <t>Metro / grossiste</t>
        </is>
      </c>
      <c r="J94" s="34" t="inlineStr">
        <is>
          <t>405 portions</t>
        </is>
      </c>
    </row>
    <row r="95">
      <c r="A95" s="34" t="inlineStr">
        <is>
          <t>Août</t>
        </is>
      </c>
      <c r="B95" s="34" t="inlineStr">
        <is>
          <t>Variable</t>
        </is>
      </c>
      <c r="C95" s="34" t="inlineStr">
        <is>
          <t>Snack - Pop-corn</t>
        </is>
      </c>
      <c r="D95" s="34" t="inlineStr">
        <is>
          <t>Huile + sel pop-corn</t>
        </is>
      </c>
      <c r="E95" s="34" t="n">
        <v>1</v>
      </c>
      <c r="F95" s="34" t="inlineStr">
        <is>
          <t>lot</t>
        </is>
      </c>
      <c r="G95" s="92" t="n">
        <v>8</v>
      </c>
      <c r="H95" s="73" t="n">
        <v>8</v>
      </c>
      <c r="I95" s="34" t="inlineStr">
        <is>
          <t>Metro</t>
        </is>
      </c>
      <c r="J95" s="34" t="n"/>
    </row>
    <row r="96">
      <c r="A96" s="34" t="inlineStr">
        <is>
          <t>Août</t>
        </is>
      </c>
      <c r="B96" s="34" t="inlineStr">
        <is>
          <t>Variable</t>
        </is>
      </c>
      <c r="C96" s="34" t="inlineStr">
        <is>
          <t>Snack - Frites</t>
        </is>
      </c>
      <c r="D96" s="34" t="inlineStr">
        <is>
          <t>Pommes de terre BFC (frites snack 50 kg + grandes assiettes 110 kg)</t>
        </is>
      </c>
      <c r="E96" s="34" t="n">
        <v>160</v>
      </c>
      <c r="F96" s="34" t="inlineStr">
        <is>
          <t>kg</t>
        </is>
      </c>
      <c r="G96" s="92" t="n">
        <v>1.2</v>
      </c>
      <c r="H96" s="73" t="n">
        <v>192</v>
      </c>
      <c r="I96" s="34" t="inlineStr">
        <is>
          <t>Producteur BFC à sourcer (Bruno ?)</t>
        </is>
      </c>
      <c r="J96" s="34" t="inlineStr">
        <is>
          <t>Total snack + grandes assiettes</t>
        </is>
      </c>
    </row>
    <row r="97">
      <c r="A97" s="34" t="inlineStr">
        <is>
          <t>Août</t>
        </is>
      </c>
      <c r="B97" s="34" t="inlineStr">
        <is>
          <t>Variable</t>
        </is>
      </c>
      <c r="C97" s="34" t="inlineStr">
        <is>
          <t>Snack - Frites</t>
        </is>
      </c>
      <c r="D97" s="34" t="inlineStr">
        <is>
          <t>Huile friture</t>
        </is>
      </c>
      <c r="E97" s="34" t="n">
        <v>18</v>
      </c>
      <c r="F97" s="34" t="inlineStr">
        <is>
          <t>L</t>
        </is>
      </c>
      <c r="G97" s="92" t="n">
        <v>1.8</v>
      </c>
      <c r="H97" s="73" t="n">
        <v>32</v>
      </c>
      <c r="I97" s="34" t="inlineStr">
        <is>
          <t>Metro / grossiste</t>
        </is>
      </c>
      <c r="J97" s="34" t="inlineStr">
        <is>
          <t>Cuisson + renouvellement</t>
        </is>
      </c>
    </row>
    <row r="98">
      <c r="A98" s="34" t="inlineStr">
        <is>
          <t>Août</t>
        </is>
      </c>
      <c r="B98" s="34" t="inlineStr">
        <is>
          <t>Variable</t>
        </is>
      </c>
      <c r="C98" s="34" t="inlineStr">
        <is>
          <t>Snack - Frites</t>
        </is>
      </c>
      <c r="D98" s="34" t="inlineStr">
        <is>
          <t>Sel friture</t>
        </is>
      </c>
      <c r="E98" s="34" t="n">
        <v>1</v>
      </c>
      <c r="F98" s="34" t="inlineStr">
        <is>
          <t>lot</t>
        </is>
      </c>
      <c r="G98" s="92" t="n">
        <v>2</v>
      </c>
      <c r="H98" s="73" t="n">
        <v>2</v>
      </c>
      <c r="I98" s="34" t="inlineStr">
        <is>
          <t>Metro</t>
        </is>
      </c>
      <c r="J98" s="34" t="n"/>
    </row>
    <row r="99">
      <c r="A99" s="34" t="inlineStr">
        <is>
          <t>Août</t>
        </is>
      </c>
      <c r="B99" s="34" t="inlineStr">
        <is>
          <t>Variable</t>
        </is>
      </c>
      <c r="C99" s="34" t="inlineStr">
        <is>
          <t>Snack - Frites</t>
        </is>
      </c>
      <c r="D99" s="34" t="inlineStr">
        <is>
          <t>Barquettes kraft 150 g (snack à part uniquement)</t>
        </is>
      </c>
      <c r="E99" s="34" t="n">
        <v>360</v>
      </c>
      <c r="F99" s="34" t="inlineStr">
        <is>
          <t>unités</t>
        </is>
      </c>
      <c r="G99" s="92" t="n">
        <v>0.05</v>
      </c>
      <c r="H99" s="73" t="n">
        <v>18</v>
      </c>
      <c r="I99" s="34" t="inlineStr">
        <is>
          <t>Cdiscount Pro / Metro</t>
        </is>
      </c>
      <c r="J99" s="34" t="n"/>
    </row>
    <row r="100">
      <c r="A100" s="34" t="inlineStr">
        <is>
          <t>Août</t>
        </is>
      </c>
      <c r="B100" s="34" t="inlineStr">
        <is>
          <t>Variable</t>
        </is>
      </c>
      <c r="C100" s="34" t="inlineStr">
        <is>
          <t>Snack - Frites</t>
        </is>
      </c>
      <c r="D100" s="34" t="inlineStr">
        <is>
          <t>Sticks ketchup + mayo</t>
        </is>
      </c>
      <c r="E100" s="34" t="n">
        <v>720</v>
      </c>
      <c r="F100" s="34" t="inlineStr">
        <is>
          <t>sticks</t>
        </is>
      </c>
      <c r="G100" s="92" t="n">
        <v>0.05</v>
      </c>
      <c r="H100" s="73" t="n">
        <v>36</v>
      </c>
      <c r="I100" s="34" t="inlineStr">
        <is>
          <t>Metro / fournisseur HoReCa</t>
        </is>
      </c>
      <c r="J100" s="34" t="inlineStr">
        <is>
          <t>2 sticks/portion snack</t>
        </is>
      </c>
    </row>
    <row r="101">
      <c r="A101" s="34" t="inlineStr">
        <is>
          <t>Août</t>
        </is>
      </c>
      <c r="B101" s="34" t="inlineStr">
        <is>
          <t>Variable</t>
        </is>
      </c>
      <c r="C101" s="34" t="inlineStr">
        <is>
          <t>Snack - Glaces</t>
        </is>
      </c>
      <c r="D101" s="34" t="inlineStr">
        <is>
          <t>Glaces vanille/chocolat/fraise bacs 2,5 L</t>
        </is>
      </c>
      <c r="E101" s="34" t="n">
        <v>39</v>
      </c>
      <c r="F101" s="34" t="inlineStr">
        <is>
          <t>bacs</t>
        </is>
      </c>
      <c r="G101" s="92" t="n">
        <v>2.35</v>
      </c>
      <c r="H101" s="73" t="n">
        <v>92</v>
      </c>
      <c r="I101" s="34" t="inlineStr">
        <is>
          <t>ERHARD</t>
        </is>
      </c>
      <c r="J101" s="34" t="inlineStr">
        <is>
          <t>780 boules · à confirmer prix</t>
        </is>
      </c>
    </row>
    <row r="102">
      <c r="A102" s="34" t="inlineStr">
        <is>
          <t>Août</t>
        </is>
      </c>
      <c r="B102" s="34" t="inlineStr">
        <is>
          <t>Variable</t>
        </is>
      </c>
      <c r="C102" s="34" t="inlineStr">
        <is>
          <t>Snack - Glaces</t>
        </is>
      </c>
      <c r="D102" s="34" t="inlineStr">
        <is>
          <t>Cornets gaufrette comestibles</t>
        </is>
      </c>
      <c r="E102" s="34" t="n">
        <v>560</v>
      </c>
      <c r="F102" s="34" t="inlineStr">
        <is>
          <t>unités</t>
        </is>
      </c>
      <c r="G102" s="92" t="n">
        <v>0.12</v>
      </c>
      <c r="H102" s="73" t="n">
        <v>67</v>
      </c>
      <c r="I102" s="34" t="inlineStr">
        <is>
          <t>Nicolas Glaces / Metro / HoReCa</t>
        </is>
      </c>
      <c r="J102" s="34" t="inlineStr">
        <is>
          <t>Zéro déchet</t>
        </is>
      </c>
    </row>
    <row r="103">
      <c r="A103" s="34" t="inlineStr">
        <is>
          <t>Août</t>
        </is>
      </c>
      <c r="B103" s="34" t="inlineStr">
        <is>
          <t>Variable</t>
        </is>
      </c>
      <c r="C103" s="34" t="inlineStr">
        <is>
          <t>Snack - Glaces</t>
        </is>
      </c>
      <c r="D103" s="34" t="inlineStr">
        <is>
          <t>Gobelets bio 25 cL back-up allergiques/enfants</t>
        </is>
      </c>
      <c r="E103" s="34" t="n">
        <v>50</v>
      </c>
      <c r="F103" s="34" t="inlineStr">
        <is>
          <t>unités</t>
        </is>
      </c>
      <c r="G103" s="92" t="n">
        <v>0.06</v>
      </c>
      <c r="H103" s="73" t="n">
        <v>3</v>
      </c>
      <c r="I103" s="34" t="inlineStr">
        <is>
          <t>Cdiscount Pro</t>
        </is>
      </c>
      <c r="J103" s="34" t="inlineStr">
        <is>
          <t>+ mini-cuillères bois</t>
        </is>
      </c>
    </row>
    <row r="104">
      <c r="A104" s="34" t="inlineStr">
        <is>
          <t>Août</t>
        </is>
      </c>
      <c r="B104" s="34" t="inlineStr">
        <is>
          <t>Variable</t>
        </is>
      </c>
      <c r="C104" s="34" t="inlineStr">
        <is>
          <t>Snack - Tomates</t>
        </is>
      </c>
      <c r="D104" s="34" t="inlineStr">
        <is>
          <t>Tomates cerise BFC</t>
        </is>
      </c>
      <c r="E104" s="34" t="n">
        <v>75</v>
      </c>
      <c r="F104" s="34" t="inlineStr">
        <is>
          <t>kg</t>
        </is>
      </c>
      <c r="G104" s="92" t="n">
        <v>1.2</v>
      </c>
      <c r="H104" s="73" t="n">
        <v>90</v>
      </c>
      <c r="I104" s="34" t="inlineStr">
        <is>
          <t>BRUNO</t>
        </is>
      </c>
      <c r="J104" s="34" t="inlineStr">
        <is>
          <t>500 portions × 150 g</t>
        </is>
      </c>
    </row>
    <row r="105">
      <c r="A105" s="34" t="inlineStr">
        <is>
          <t>Août</t>
        </is>
      </c>
      <c r="B105" s="34" t="inlineStr">
        <is>
          <t>Variable</t>
        </is>
      </c>
      <c r="C105" s="34" t="inlineStr">
        <is>
          <t>Restauration - Fromage</t>
        </is>
      </c>
      <c r="D105" s="34" t="inlineStr">
        <is>
          <t>Comté + Comté doux + Morbier (mix 70 kg)</t>
        </is>
      </c>
      <c r="E105" s="34" t="n">
        <v>70</v>
      </c>
      <c r="F105" s="34" t="inlineStr">
        <is>
          <t>kg</t>
        </is>
      </c>
      <c r="G105" s="92" t="n">
        <v>14.5</v>
      </c>
      <c r="H105" s="73" t="n">
        <v>1015</v>
      </c>
      <c r="I105" s="34" t="inlineStr">
        <is>
          <t>Hôpitaux Vieux</t>
        </is>
      </c>
      <c r="J105" s="34" t="inlineStr">
        <is>
          <t>Mix selon assiettes FC + VG</t>
        </is>
      </c>
    </row>
    <row r="106">
      <c r="A106" s="34" t="inlineStr">
        <is>
          <t>Août</t>
        </is>
      </c>
      <c r="B106" s="34" t="inlineStr">
        <is>
          <t>Variable</t>
        </is>
      </c>
      <c r="C106" s="34" t="inlineStr">
        <is>
          <t>Restauration - Charcuterie</t>
        </is>
      </c>
      <c r="D106" s="34" t="inlineStr">
        <is>
          <t>Saucisse paysanne + lard fumé + jambon blanc (~77 kg)</t>
        </is>
      </c>
      <c r="E106" s="34" t="n">
        <v>77</v>
      </c>
      <c r="F106" s="34" t="inlineStr">
        <is>
          <t>kg</t>
        </is>
      </c>
      <c r="G106" s="92" t="n">
        <v>15.5</v>
      </c>
      <c r="H106" s="73" t="n">
        <v>1194</v>
      </c>
      <c r="I106" s="34" t="inlineStr">
        <is>
          <t>Ferme Ligny</t>
        </is>
      </c>
      <c r="J106" s="34" t="inlineStr">
        <is>
          <t>Pour 770 grandes + 231 petites FC</t>
        </is>
      </c>
    </row>
    <row r="107">
      <c r="A107" s="34" t="inlineStr">
        <is>
          <t>Août</t>
        </is>
      </c>
      <c r="B107" s="34" t="inlineStr">
        <is>
          <t>Variable</t>
        </is>
      </c>
      <c r="C107" s="34" t="inlineStr">
        <is>
          <t>Restauration - Œufs</t>
        </is>
      </c>
      <c r="D107" s="34" t="inlineStr">
        <is>
          <t>Œufs plateau 360</t>
        </is>
      </c>
      <c r="E107" s="34" t="n">
        <v>4</v>
      </c>
      <c r="F107" s="34" t="inlineStr">
        <is>
          <t>plateaux</t>
        </is>
      </c>
      <c r="G107" s="92" t="n">
        <v>66</v>
      </c>
      <c r="H107" s="73" t="n">
        <v>264</v>
      </c>
      <c r="I107" s="34" t="inlineStr">
        <is>
          <t>Saveur de la Ferme</t>
        </is>
      </c>
      <c r="J107" s="34" t="inlineStr">
        <is>
          <t>1100 œufs nécessaires</t>
        </is>
      </c>
    </row>
    <row r="108">
      <c r="A108" s="34" t="inlineStr">
        <is>
          <t>Août</t>
        </is>
      </c>
      <c r="B108" s="34" t="inlineStr">
        <is>
          <t>Variable</t>
        </is>
      </c>
      <c r="C108" s="34" t="inlineStr">
        <is>
          <t>Restauration - Pain</t>
        </is>
      </c>
      <c r="D108" s="34" t="inlineStr">
        <is>
          <t>Pain 350 g (10 tranches/pain)</t>
        </is>
      </c>
      <c r="E108" s="34" t="n">
        <v>110</v>
      </c>
      <c r="F108" s="34" t="inlineStr">
        <is>
          <t>pains</t>
        </is>
      </c>
      <c r="G108" s="92" t="n">
        <v>2.2</v>
      </c>
      <c r="H108" s="73" t="n">
        <v>242</v>
      </c>
      <c r="I108" s="34" t="inlineStr">
        <is>
          <t>La Ronde des Pains</t>
        </is>
      </c>
      <c r="J108" s="34" t="inlineStr">
        <is>
          <t>1100 tranches</t>
        </is>
      </c>
    </row>
    <row r="109">
      <c r="A109" s="34" t="inlineStr">
        <is>
          <t>Août</t>
        </is>
      </c>
      <c r="B109" s="34" t="inlineStr">
        <is>
          <t>Variable</t>
        </is>
      </c>
      <c r="C109" s="34" t="inlineStr">
        <is>
          <t>Restauration - Conditionnement</t>
        </is>
      </c>
      <c r="D109" s="34" t="inlineStr">
        <is>
          <t>Sachets sous vide (par 3 kg)</t>
        </is>
      </c>
      <c r="E109" s="34" t="n">
        <v>30</v>
      </c>
      <c r="F109" s="34" t="inlineStr">
        <is>
          <t>lots de 3kg</t>
        </is>
      </c>
      <c r="G109" s="92" t="n">
        <v>1</v>
      </c>
      <c r="H109" s="73" t="n">
        <v>30</v>
      </c>
      <c r="I109" s="34" t="inlineStr">
        <is>
          <t>Ferme Ligny</t>
        </is>
      </c>
      <c r="J109" s="34" t="inlineStr">
        <is>
          <t>Pour conserver fromage + charcut J-2</t>
        </is>
      </c>
    </row>
    <row r="110">
      <c r="A110" s="34" t="inlineStr">
        <is>
          <t>Août</t>
        </is>
      </c>
      <c r="B110" s="34" t="inlineStr">
        <is>
          <t>Variable</t>
        </is>
      </c>
      <c r="C110" s="34" t="inlineStr">
        <is>
          <t>Boisson - Bière</t>
        </is>
      </c>
      <c r="D110" s="34" t="inlineStr">
        <is>
          <t>Réassort éventuel 5 fûts (décision Vendredi soir)</t>
        </is>
      </c>
      <c r="E110" s="34" t="n">
        <v>5</v>
      </c>
      <c r="F110" s="34" t="inlineStr">
        <is>
          <t>fûts</t>
        </is>
      </c>
      <c r="G110" s="92" t="n">
        <v>80</v>
      </c>
      <c r="H110" s="73" t="n">
        <v>0</v>
      </c>
      <c r="I110" s="34" t="inlineStr">
        <is>
          <t>Le Pintadier</t>
        </is>
      </c>
      <c r="J110" s="34" t="inlineStr">
        <is>
          <t>Activation conditionnelle - 0 € par défaut</t>
        </is>
      </c>
    </row>
    <row r="112">
      <c r="A112" s="35" t="n"/>
      <c r="B112" s="35" t="inlineStr">
        <is>
          <t>Sous-total Fixe</t>
        </is>
      </c>
      <c r="C112" s="35" t="n"/>
      <c r="D112" s="35" t="n"/>
      <c r="E112" s="35" t="n"/>
      <c r="F112" s="35" t="n"/>
      <c r="G112" s="93" t="n"/>
      <c r="H112" s="74">
        <f>SUMIF(B68:B110,"Fixe",H68:H110)</f>
        <v/>
      </c>
      <c r="I112" s="35" t="n"/>
      <c r="J112" s="35" t="n"/>
    </row>
    <row r="113">
      <c r="A113" s="36" t="n"/>
      <c r="B113" s="36" t="inlineStr">
        <is>
          <t>Sous-total Invest</t>
        </is>
      </c>
      <c r="C113" s="36" t="n"/>
      <c r="D113" s="36" t="n"/>
      <c r="E113" s="36" t="n"/>
      <c r="F113" s="36" t="n"/>
      <c r="G113" s="94" t="n"/>
      <c r="H113" s="75">
        <f>SUMIF(B68:B111,"Invest",H68:H111)</f>
        <v/>
      </c>
      <c r="I113" s="36" t="n"/>
      <c r="J113" s="36" t="n"/>
    </row>
    <row r="114">
      <c r="A114" s="37" t="n"/>
      <c r="B114" s="37" t="inlineStr">
        <is>
          <t>Sous-total Variable</t>
        </is>
      </c>
      <c r="C114" s="37" t="n"/>
      <c r="D114" s="37" t="n"/>
      <c r="E114" s="37" t="n"/>
      <c r="F114" s="37" t="n"/>
      <c r="G114" s="95" t="n"/>
      <c r="H114" s="76">
        <f>SUMIF(B68:B112,"Variable",H68:H112)</f>
        <v/>
      </c>
      <c r="I114" s="37" t="n"/>
      <c r="J114" s="37" t="n"/>
    </row>
    <row r="115" ht="15.6" customHeight="1" s="39">
      <c r="A115" s="26" t="inlineStr">
        <is>
          <t>TOTAL DÉPENSES F&amp;B</t>
        </is>
      </c>
      <c r="B115" s="26" t="n"/>
      <c r="C115" s="26" t="n"/>
      <c r="D115" s="26" t="n"/>
      <c r="E115" s="26" t="n"/>
      <c r="F115" s="26" t="n"/>
      <c r="G115" s="96" t="n"/>
      <c r="H115" s="77">
        <f>SUM(H68:H110)</f>
        <v/>
      </c>
      <c r="I115" s="26" t="n"/>
      <c r="J115" s="26" t="n"/>
    </row>
    <row r="117">
      <c r="A117" s="40" t="inlineStr">
        <is>
          <t>SYNTHÈSE F&amp;B</t>
        </is>
      </c>
    </row>
    <row r="119">
      <c r="A119" s="20" t="inlineStr">
        <is>
          <t>TOTAL RECETTES F&amp;B</t>
        </is>
      </c>
      <c r="B119" s="20" t="n"/>
      <c r="C119" s="20" t="n"/>
      <c r="D119" s="20" t="n"/>
      <c r="E119" s="20" t="n"/>
      <c r="F119" s="20" t="n"/>
      <c r="G119" s="86" t="n"/>
      <c r="H119" s="67">
        <f>H63</f>
        <v/>
      </c>
      <c r="I119" s="20" t="n"/>
      <c r="J119" s="20" t="n"/>
    </row>
    <row r="120">
      <c r="A120" s="20" t="inlineStr">
        <is>
          <t>TOTAL DÉPENSES F&amp;B</t>
        </is>
      </c>
      <c r="B120" s="20" t="n"/>
      <c r="C120" s="20" t="n"/>
      <c r="D120" s="20" t="n"/>
      <c r="E120" s="20" t="n"/>
      <c r="F120" s="20" t="n"/>
      <c r="G120" s="86" t="n"/>
      <c r="H120" s="67">
        <f>H115</f>
        <v/>
      </c>
      <c r="I120" s="20" t="n"/>
      <c r="J120" s="20" t="n"/>
    </row>
    <row r="121">
      <c r="A121" s="21" t="inlineStr">
        <is>
          <t>MARGE F&amp;B (sans réassort bière, hors SACEM, hors repas artistes)</t>
        </is>
      </c>
      <c r="B121" s="21" t="n"/>
      <c r="C121" s="21" t="n"/>
      <c r="D121" s="21" t="n"/>
      <c r="E121" s="21" t="n"/>
      <c r="F121" s="21" t="n"/>
      <c r="G121" s="97" t="n"/>
      <c r="H121" s="78">
        <f>H119-H120</f>
        <v/>
      </c>
      <c r="I121" s="21" t="n"/>
      <c r="J121" s="21" t="n"/>
    </row>
    <row r="123" ht="16.05" customHeight="1" s="39">
      <c r="A123" s="42" t="inlineStr">
        <is>
          <t>NOTES IMPORTANTES :</t>
        </is>
      </c>
    </row>
    <row r="124" ht="16.05" customHeight="1" s="39">
      <c r="A124" s="42" t="inlineStr">
        <is>
          <t>• SACEM Buvette 4,4 % (~1 427 €) : EXCLUE du F&amp;B - à confirmer non due (déjà 8,8 % billetterie)</t>
        </is>
      </c>
    </row>
    <row r="125" ht="16.05" customHeight="1" s="39">
      <c r="A125" s="42" t="inlineStr">
        <is>
          <t>• SACEM Billetterie 8,8 % (~1 993 €) : payée septembre 2026 (post-festival, dans Frais divers)</t>
        </is>
      </c>
    </row>
    <row r="126" ht="16.05" customHeight="1" s="39">
      <c r="A126" s="42" t="inlineStr">
        <is>
          <t>• Repas artistes (~555 €) : EXCLUS du F&amp;B - à imputer au budget Artistes</t>
        </is>
      </c>
    </row>
    <row r="127" ht="16.05" customHeight="1" s="39">
      <c r="A127" s="42" t="inlineStr">
        <is>
          <t>• Coût gobelets bio (café, soft, pop-corn, tomates) inclus dans ligne globale "Vaisselle bio jetable" 319 € (Juillet)</t>
        </is>
      </c>
    </row>
    <row r="128" ht="16.05" customHeight="1" s="39">
      <c r="A128" s="42" t="inlineStr">
        <is>
          <t>• Réassort bière 5 fûts : montant 0 € par défaut, à activer si forte demande (+400 € coût, +3 200 € recettes)</t>
        </is>
      </c>
    </row>
    <row r="129" ht="16.05" customHeight="1" s="39">
      <c r="A129" s="42" t="inlineStr">
        <is>
          <t>• Volumes par jour estimés selon modulation Calibrage_buvette_2026.md</t>
        </is>
      </c>
    </row>
  </sheetData>
  <mergeCells count="11">
    <mergeCell ref="A117:J117"/>
    <mergeCell ref="A1:J1"/>
    <mergeCell ref="A123:J123"/>
    <mergeCell ref="A127:J127"/>
    <mergeCell ref="A126:J126"/>
    <mergeCell ref="A3:J3"/>
    <mergeCell ref="A124:J124"/>
    <mergeCell ref="A65:J65"/>
    <mergeCell ref="A125:J125"/>
    <mergeCell ref="A128:J128"/>
    <mergeCell ref="A129:J1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3" workbookViewId="0">
      <selection activeCell="A1" sqref="A1:F1"/>
    </sheetView>
  </sheetViews>
  <sheetFormatPr baseColWidth="10" defaultColWidth="8.88671875" defaultRowHeight="14.4"/>
  <cols>
    <col width="35" customWidth="1" style="39" min="1" max="2"/>
    <col width="11" customWidth="1" style="39" min="3" max="3"/>
    <col width="17" customWidth="1" style="39" min="4" max="6"/>
  </cols>
  <sheetData>
    <row r="1" ht="15.6" customHeight="1" s="39">
      <c r="A1" s="38" t="inlineStr">
        <is>
          <t>ATELIERS — Recettes &amp; Dépenses</t>
        </is>
      </c>
    </row>
    <row r="3" ht="15.6" customHeight="1" s="39">
      <c r="A3" s="38" t="inlineStr">
        <is>
          <t>Recettes (cotisations participants)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inlineStr">
        <is>
          <t>Masterclass chant lyrique (4 élèves × 60 €)</t>
        </is>
      </c>
      <c r="C6" s="2" t="inlineStr">
        <is>
          <t>Recette</t>
        </is>
      </c>
      <c r="D6" s="5" t="n">
        <v>240</v>
      </c>
      <c r="E6" s="5" t="n"/>
      <c r="F6" s="5">
        <f>E6-D6</f>
        <v/>
      </c>
    </row>
    <row r="7">
      <c r="A7" s="15" t="n"/>
      <c r="B7" s="2" t="inlineStr">
        <is>
          <t>Atelier écriture (15 pers × 50 € + 150 € lycée)</t>
        </is>
      </c>
      <c r="C7" s="2" t="inlineStr">
        <is>
          <t>Recette</t>
        </is>
      </c>
      <c r="D7" s="5" t="n">
        <v>900</v>
      </c>
      <c r="E7" s="5" t="n"/>
      <c r="F7" s="5">
        <f>E7-D7</f>
        <v/>
      </c>
    </row>
    <row r="8">
      <c r="A8" s="15" t="n"/>
      <c r="B8" s="2" t="inlineStr">
        <is>
          <t>Atelier musique &amp; théâtre (30 pers × 50 €)</t>
        </is>
      </c>
      <c r="C8" s="2" t="inlineStr">
        <is>
          <t>Recette</t>
        </is>
      </c>
      <c r="D8" s="5" t="n">
        <v>1500</v>
      </c>
      <c r="E8" s="5" t="n"/>
      <c r="F8" s="5">
        <f>E8-D8</f>
        <v/>
      </c>
    </row>
    <row r="9">
      <c r="A9" s="15" t="n"/>
      <c r="B9" s="2" t="inlineStr">
        <is>
          <t>Atelier DJ (15 pers × 50 €)</t>
        </is>
      </c>
      <c r="C9" s="2" t="inlineStr">
        <is>
          <t>Recette</t>
        </is>
      </c>
      <c r="D9" s="5" t="n">
        <v>750</v>
      </c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1">
      <c r="A11" s="15" t="n"/>
      <c r="B11" s="2" t="n"/>
      <c r="C11" s="2" t="n"/>
      <c r="D11" s="5" t="n"/>
      <c r="E11" s="5" t="n"/>
      <c r="F11" s="5">
        <f>E11-D11</f>
        <v/>
      </c>
    </row>
    <row r="12">
      <c r="A12" s="15" t="n"/>
      <c r="B12" s="2" t="n"/>
      <c r="C12" s="2" t="n"/>
      <c r="D12" s="5" t="n"/>
      <c r="E12" s="5" t="n"/>
      <c r="F12" s="5">
        <f>E12-D12</f>
        <v/>
      </c>
    </row>
    <row r="14">
      <c r="A14" s="6" t="inlineStr">
        <is>
          <t>TOTAL RECETTES ATELIERS</t>
        </is>
      </c>
      <c r="B14" s="6" t="n"/>
      <c r="C14" s="6" t="n"/>
      <c r="D14" s="7">
        <f>SUM(D6:D12)</f>
        <v/>
      </c>
      <c r="E14" s="7">
        <f>SUM(E6:E12)</f>
        <v/>
      </c>
      <c r="F14" s="7">
        <f>SUM(F6:F12)</f>
        <v/>
      </c>
    </row>
    <row r="16" ht="15.6" customHeight="1" s="39">
      <c r="A16" s="38" t="inlineStr">
        <is>
          <t>Dépenses (intervenants ateliers)</t>
        </is>
      </c>
    </row>
    <row r="18">
      <c r="A18" s="1" t="inlineStr">
        <is>
          <t>Date</t>
        </is>
      </c>
      <c r="B18" s="1" t="inlineStr">
        <is>
          <t>Description</t>
        </is>
      </c>
      <c r="C18" s="1" t="inlineStr">
        <is>
          <t>Type</t>
        </is>
      </c>
      <c r="D18" s="1" t="inlineStr">
        <is>
          <t>Prévu</t>
        </is>
      </c>
      <c r="E18" s="1" t="inlineStr">
        <is>
          <t>Réel</t>
        </is>
      </c>
      <c r="F18" s="1" t="inlineStr">
        <is>
          <t>Écart</t>
        </is>
      </c>
    </row>
    <row r="19">
      <c r="A19" s="15" t="n"/>
      <c r="B19" s="2" t="inlineStr">
        <is>
          <t>Rép. Fabulo (4 art. x 2 jours x 100€)</t>
        </is>
      </c>
      <c r="C19" s="2" t="inlineStr">
        <is>
          <t>Dépense</t>
        </is>
      </c>
      <c r="D19" s="5" t="n">
        <v>800</v>
      </c>
      <c r="E19" s="5" t="n"/>
      <c r="F19" s="5">
        <f>E19-D19</f>
        <v/>
      </c>
    </row>
    <row r="20">
      <c r="A20" s="15" t="n"/>
      <c r="B20" s="2" t="inlineStr">
        <is>
          <t>Rép. Masterclass chant — Romane (incl. Fabulo)</t>
        </is>
      </c>
      <c r="C20" s="2" t="inlineStr">
        <is>
          <t>Dépense</t>
        </is>
      </c>
      <c r="D20" s="5" t="n">
        <v>0</v>
      </c>
      <c r="E20" s="5" t="n"/>
      <c r="F20" s="5">
        <f>E20-D20</f>
        <v/>
      </c>
    </row>
    <row r="21">
      <c r="A21" s="15" t="n"/>
      <c r="B21" s="2" t="inlineStr">
        <is>
          <t>Rép. Atelier écriture — Sylvain (2 jours x 100€)</t>
        </is>
      </c>
      <c r="C21" s="2" t="inlineStr">
        <is>
          <t>Dépense</t>
        </is>
      </c>
      <c r="D21" s="5" t="n">
        <v>200</v>
      </c>
      <c r="E21" s="5" t="n"/>
      <c r="F21" s="5">
        <f>E21-D21</f>
        <v/>
      </c>
    </row>
    <row r="22">
      <c r="A22" s="15" t="n"/>
      <c r="B22" s="2" t="inlineStr">
        <is>
          <t>Rép. Atelier DJ — Jeff (2 jours x 100€)</t>
        </is>
      </c>
      <c r="C22" s="2" t="inlineStr">
        <is>
          <t>Dépense</t>
        </is>
      </c>
      <c r="D22" s="5" t="n">
        <v>200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7">
      <c r="A27" s="6" t="inlineStr">
        <is>
          <t>TOTAL DÉPENSES ATELIERS</t>
        </is>
      </c>
      <c r="B27" s="6" t="n"/>
      <c r="C27" s="6" t="n"/>
      <c r="D27" s="7">
        <f>SUM(D19:D25)</f>
        <v/>
      </c>
      <c r="E27" s="7">
        <f>SUM(E19:E25)</f>
        <v/>
      </c>
      <c r="F27" s="7">
        <f>SUM(F19:F25)</f>
        <v/>
      </c>
    </row>
  </sheetData>
  <mergeCells count="3">
    <mergeCell ref="A3:F3"/>
    <mergeCell ref="A16:F16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B32" sqref="B32:B36"/>
    </sheetView>
  </sheetViews>
  <sheetFormatPr baseColWidth="10" defaultColWidth="8.88671875" defaultRowHeight="14.4"/>
  <cols>
    <col width="35" customWidth="1" style="39" min="1" max="1"/>
    <col width="18" customWidth="1" style="39" min="2" max="2"/>
    <col width="21" customWidth="1" style="39" min="3" max="3"/>
    <col width="14" customWidth="1" style="39" min="4" max="4"/>
    <col width="11" customWidth="1" style="39" min="5" max="5"/>
    <col width="22" customWidth="1" style="39" min="6" max="6"/>
    <col width="19" customWidth="1" style="39" min="7" max="7"/>
    <col width="21" customWidth="1" style="39" min="8" max="8"/>
    <col width="16" customWidth="1" style="39" min="9" max="9"/>
    <col width="17" customWidth="1" style="39" min="10" max="10"/>
    <col width="20" customWidth="1" style="39" min="11" max="11"/>
    <col width="16" customWidth="1" style="39" min="12" max="12"/>
    <col width="17" customWidth="1" style="39" min="13" max="13"/>
    <col width="16" customWidth="1" style="39" min="14" max="14"/>
  </cols>
  <sheetData>
    <row r="1" ht="15.6" customHeight="1" s="39">
      <c r="A1" s="38" t="inlineStr">
        <is>
          <t>ARTISTES — Dépenses (cachet 250€, rép. 100€, défr. 200€ max)</t>
        </is>
      </c>
    </row>
    <row r="2" ht="15.6" customHeight="1" s="39">
      <c r="A2" s="38" t="n"/>
    </row>
    <row r="3">
      <c r="A3" s="2" t="inlineStr">
        <is>
          <t>Georges Cabaret (Sète, 34) - France hors BFC</t>
        </is>
      </c>
      <c r="B3" s="2" t="inlineStr">
        <is>
          <t>Musique</t>
        </is>
      </c>
      <c r="C3" s="2" t="n"/>
      <c r="D3" s="2" t="n">
        <v>1</v>
      </c>
      <c r="E3" s="2" t="n">
        <v>0</v>
      </c>
      <c r="F3" s="2" t="n">
        <v>250</v>
      </c>
      <c r="G3" s="2" t="n">
        <v>0</v>
      </c>
      <c r="H3" s="2" t="n">
        <v>150</v>
      </c>
      <c r="I3" s="2" t="n">
        <v>400</v>
      </c>
      <c r="J3" s="2" t="n"/>
      <c r="K3" s="2" t="n"/>
      <c r="L3" s="2" t="n">
        <v>0</v>
      </c>
      <c r="M3" s="2" t="n"/>
      <c r="N3" s="2" t="n">
        <v>-400</v>
      </c>
    </row>
    <row r="4">
      <c r="A4" s="2" t="inlineStr">
        <is>
          <t>Loretta (locale)</t>
        </is>
      </c>
      <c r="B4" s="2" t="inlineStr">
        <is>
          <t>Musique</t>
        </is>
      </c>
      <c r="C4" s="2" t="n"/>
      <c r="D4" s="2" t="n">
        <v>1</v>
      </c>
      <c r="E4" s="2" t="n">
        <v>0</v>
      </c>
      <c r="F4" s="2" t="n">
        <v>250</v>
      </c>
      <c r="G4" s="2" t="n">
        <v>0</v>
      </c>
      <c r="H4" s="2" t="n">
        <v>0</v>
      </c>
      <c r="I4" s="2" t="n">
        <v>250</v>
      </c>
      <c r="J4" s="2" t="n"/>
      <c r="K4" s="2" t="n"/>
      <c r="L4" s="2" t="n">
        <v>0</v>
      </c>
      <c r="M4" s="2" t="n"/>
      <c r="N4" s="2" t="n">
        <v>-250</v>
      </c>
    </row>
    <row r="5">
      <c r="A5" s="2" t="inlineStr">
        <is>
          <t>Fanélie Nava</t>
        </is>
      </c>
      <c r="B5" s="2" t="inlineStr">
        <is>
          <t>Musique</t>
        </is>
      </c>
      <c r="C5" s="2" t="n"/>
      <c r="D5" s="2" t="n">
        <v>1</v>
      </c>
      <c r="E5" s="2" t="n">
        <v>0</v>
      </c>
      <c r="F5" s="2" t="n">
        <v>250</v>
      </c>
      <c r="G5" s="2" t="n">
        <v>0</v>
      </c>
      <c r="H5" s="2" t="n">
        <v>150</v>
      </c>
      <c r="I5" s="2" t="n">
        <v>400</v>
      </c>
      <c r="J5" s="2" t="n"/>
      <c r="K5" s="2" t="n"/>
      <c r="L5" s="2" t="n">
        <v>0</v>
      </c>
      <c r="M5" s="2" t="n"/>
      <c r="N5" s="2" t="n">
        <v>-400</v>
      </c>
    </row>
    <row r="6">
      <c r="A6" s="2" t="inlineStr">
        <is>
          <t>Manu - Wambo (local)</t>
        </is>
      </c>
      <c r="B6" s="2" t="inlineStr">
        <is>
          <t>Musique</t>
        </is>
      </c>
      <c r="C6" s="2" t="n"/>
      <c r="D6" s="2" t="n">
        <v>1</v>
      </c>
      <c r="E6" s="2" t="n">
        <v>0</v>
      </c>
      <c r="F6" s="2" t="n">
        <v>250</v>
      </c>
      <c r="G6" s="2" t="n">
        <v>0</v>
      </c>
      <c r="H6" s="2" t="n">
        <v>0</v>
      </c>
      <c r="I6" s="2" t="n">
        <v>250</v>
      </c>
      <c r="J6" s="2" t="n"/>
      <c r="K6" s="2" t="n"/>
      <c r="L6" s="2" t="n">
        <v>0</v>
      </c>
      <c r="M6" s="2" t="n"/>
      <c r="N6" s="2" t="n">
        <v>-250</v>
      </c>
    </row>
    <row r="7">
      <c r="A7" s="2" t="inlineStr">
        <is>
          <t>Antoine Vermot - Jeff The Fool (local, parents BFC)</t>
        </is>
      </c>
      <c r="B7" s="2" t="inlineStr">
        <is>
          <t>Musique</t>
        </is>
      </c>
      <c r="C7" s="2" t="inlineStr">
        <is>
          <t>Atelier DJ</t>
        </is>
      </c>
      <c r="D7" s="2" t="n">
        <v>0</v>
      </c>
      <c r="E7" s="2" t="n">
        <v>2</v>
      </c>
      <c r="F7" s="2" t="n">
        <v>0</v>
      </c>
      <c r="G7" s="2" t="n">
        <v>200</v>
      </c>
      <c r="H7" s="2" t="n">
        <v>0</v>
      </c>
      <c r="I7" s="2" t="n">
        <v>200</v>
      </c>
      <c r="J7" s="2" t="n"/>
      <c r="K7" s="2" t="n"/>
      <c r="L7" s="2" t="n">
        <v>0</v>
      </c>
      <c r="M7" s="2" t="n"/>
      <c r="N7" s="2" t="n">
        <v>-200</v>
      </c>
    </row>
    <row r="8">
      <c r="A8" s="2" t="inlineStr">
        <is>
          <t>Wet Enough?! (5 art.)</t>
        </is>
      </c>
      <c r="B8" s="2" t="inlineStr">
        <is>
          <t>Musique — Collectif</t>
        </is>
      </c>
      <c r="C8" s="2" t="n"/>
      <c r="D8" s="2" t="n">
        <v>5</v>
      </c>
      <c r="E8" s="2" t="n">
        <v>0</v>
      </c>
      <c r="F8" s="2" t="n">
        <v>1250</v>
      </c>
      <c r="G8" s="2" t="n">
        <v>0</v>
      </c>
      <c r="H8" s="2" t="n">
        <v>750</v>
      </c>
      <c r="I8" s="2" t="n">
        <v>2000</v>
      </c>
      <c r="J8" s="2" t="n"/>
      <c r="K8" s="2" t="n"/>
      <c r="L8" s="2" t="n">
        <v>0</v>
      </c>
      <c r="M8" s="2" t="n"/>
      <c r="N8" s="2" t="n">
        <v>-2000</v>
      </c>
    </row>
    <row r="9">
      <c r="A9" s="2" t="inlineStr">
        <is>
          <t>Osmosis (3 art.)</t>
        </is>
      </c>
      <c r="B9" s="2" t="inlineStr">
        <is>
          <t>Musique — Collectif</t>
        </is>
      </c>
      <c r="C9" s="2" t="n"/>
      <c r="D9" s="2" t="n">
        <v>3</v>
      </c>
      <c r="E9" s="2" t="n">
        <v>0</v>
      </c>
      <c r="F9" s="2" t="n">
        <v>750</v>
      </c>
      <c r="G9" s="2" t="n">
        <v>0</v>
      </c>
      <c r="H9" s="2" t="n">
        <v>450</v>
      </c>
      <c r="I9" s="2" t="n">
        <v>1200</v>
      </c>
      <c r="J9" s="2" t="n"/>
      <c r="K9" s="2" t="n"/>
      <c r="L9" s="2" t="n">
        <v>0</v>
      </c>
      <c r="M9" s="2" t="n"/>
      <c r="N9" s="2" t="n">
        <v>-1200</v>
      </c>
    </row>
    <row r="10">
      <c r="A10" s="2" t="inlineStr">
        <is>
          <t>Vladimir Torres Trio (3 art.) - France hors BFC</t>
        </is>
      </c>
      <c r="B10" s="2" t="inlineStr">
        <is>
          <t>Musique — Collectif</t>
        </is>
      </c>
      <c r="C10" s="2" t="n"/>
      <c r="D10" s="2" t="n">
        <v>3</v>
      </c>
      <c r="E10" s="2" t="n">
        <v>0</v>
      </c>
      <c r="F10" s="2" t="n">
        <v>750</v>
      </c>
      <c r="G10" s="2" t="n">
        <v>0</v>
      </c>
      <c r="H10" s="2" t="n">
        <v>450</v>
      </c>
      <c r="I10" s="2" t="n">
        <v>1200</v>
      </c>
      <c r="J10" s="2" t="n"/>
      <c r="K10" s="2" t="n"/>
      <c r="L10" s="2" t="n">
        <v>0</v>
      </c>
      <c r="M10" s="2" t="n"/>
      <c r="N10" s="2" t="n">
        <v>-1200</v>
      </c>
    </row>
    <row r="11">
      <c r="A11" s="2" t="inlineStr">
        <is>
          <t>Kaïnza (3 art.)</t>
        </is>
      </c>
      <c r="B11" s="2" t="inlineStr">
        <is>
          <t>Musique — Collectif</t>
        </is>
      </c>
      <c r="C11" s="2" t="n"/>
      <c r="D11" s="2" t="n">
        <v>3</v>
      </c>
      <c r="E11" s="2" t="n">
        <v>0</v>
      </c>
      <c r="F11" s="2" t="n">
        <v>750</v>
      </c>
      <c r="G11" s="2" t="n">
        <v>0</v>
      </c>
      <c r="H11" s="2" t="n">
        <v>450</v>
      </c>
      <c r="I11" s="2" t="n">
        <v>1200</v>
      </c>
      <c r="J11" s="2" t="n"/>
      <c r="K11" s="2" t="n"/>
      <c r="L11" s="2" t="n">
        <v>0</v>
      </c>
      <c r="M11" s="2" t="n"/>
      <c r="N11" s="2" t="n">
        <v>-1200</v>
      </c>
    </row>
    <row r="12">
      <c r="A12" s="2" t="inlineStr">
        <is>
          <t>Léopold (famille)</t>
        </is>
      </c>
      <c r="B12" s="2" t="inlineStr">
        <is>
          <t>Musique</t>
        </is>
      </c>
      <c r="C12" s="2" t="inlineStr">
        <is>
          <t>Atelier DJ</t>
        </is>
      </c>
      <c r="D12" s="2" t="n">
        <v>0</v>
      </c>
      <c r="E12" s="2" t="n">
        <v>2</v>
      </c>
      <c r="F12" s="2" t="n">
        <v>0</v>
      </c>
      <c r="G12" s="2" t="n">
        <v>0</v>
      </c>
      <c r="H12" s="2" t="n">
        <v>0</v>
      </c>
      <c r="I12" s="2" t="n">
        <v>0</v>
      </c>
      <c r="J12" s="2" t="n"/>
      <c r="K12" s="2" t="n"/>
      <c r="L12" s="2" t="n">
        <v>0</v>
      </c>
      <c r="M12" s="2" t="n"/>
      <c r="N12" s="2" t="n">
        <v>0</v>
      </c>
    </row>
    <row r="13">
      <c r="A13" s="2" t="inlineStr">
        <is>
          <t>Luther (famille)</t>
        </is>
      </c>
      <c r="B13" s="2" t="inlineStr">
        <is>
          <t>Musique</t>
        </is>
      </c>
      <c r="C13" s="2" t="n"/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/>
      <c r="K13" s="2" t="n"/>
      <c r="L13" s="2" t="n">
        <v>0</v>
      </c>
      <c r="M13" s="2" t="n"/>
      <c r="N13" s="2" t="n">
        <v>0</v>
      </c>
    </row>
    <row r="14">
      <c r="A14" s="2" t="inlineStr">
        <is>
          <t>Marius (Fabulo)</t>
        </is>
      </c>
      <c r="B14" s="2" t="inlineStr">
        <is>
          <t>Fabulo — Collectif</t>
        </is>
      </c>
      <c r="C14" s="2" t="inlineStr">
        <is>
          <t>Musique &amp; théâtre</t>
        </is>
      </c>
      <c r="D14" s="2" t="n">
        <v>2</v>
      </c>
      <c r="E14" s="2" t="n">
        <v>2</v>
      </c>
      <c r="F14" s="2" t="n">
        <v>500</v>
      </c>
      <c r="G14" s="2" t="n">
        <v>200</v>
      </c>
      <c r="H14" s="2" t="n">
        <v>150</v>
      </c>
      <c r="I14" s="2" t="n">
        <v>850</v>
      </c>
      <c r="J14" s="2" t="n"/>
      <c r="K14" s="2" t="n"/>
      <c r="L14" s="2" t="n">
        <v>0</v>
      </c>
      <c r="M14" s="2" t="n"/>
      <c r="N14" s="2" t="n">
        <v>-850</v>
      </c>
    </row>
    <row r="15">
      <c r="A15" s="2" t="inlineStr">
        <is>
          <t>Maya (Fabulo)</t>
        </is>
      </c>
      <c r="B15" s="2" t="inlineStr">
        <is>
          <t>Fabulo — Collectif</t>
        </is>
      </c>
      <c r="C15" s="2" t="inlineStr">
        <is>
          <t>Musique &amp; théâtre</t>
        </is>
      </c>
      <c r="D15" s="2" t="n">
        <v>2</v>
      </c>
      <c r="E15" s="2" t="n">
        <v>2</v>
      </c>
      <c r="F15" s="2" t="n">
        <v>500</v>
      </c>
      <c r="G15" s="2" t="n">
        <v>200</v>
      </c>
      <c r="H15" s="2" t="n">
        <v>150</v>
      </c>
      <c r="I15" s="2" t="n">
        <v>850</v>
      </c>
      <c r="J15" s="2" t="n"/>
      <c r="K15" s="2" t="n"/>
      <c r="L15" s="2" t="n">
        <v>0</v>
      </c>
      <c r="M15" s="2" t="n"/>
      <c r="N15" s="2" t="n">
        <v>-850</v>
      </c>
    </row>
    <row r="16">
      <c r="A16" s="2" t="inlineStr">
        <is>
          <t>Raphaëlle (Fabulo)</t>
        </is>
      </c>
      <c r="B16" s="2" t="inlineStr">
        <is>
          <t>Fabulo — Collectif</t>
        </is>
      </c>
      <c r="C16" s="2" t="inlineStr">
        <is>
          <t>Musique &amp; théâtre</t>
        </is>
      </c>
      <c r="D16" s="2" t="n">
        <v>2</v>
      </c>
      <c r="E16" s="2" t="n">
        <v>2</v>
      </c>
      <c r="F16" s="2" t="n">
        <v>500</v>
      </c>
      <c r="G16" s="2" t="n">
        <v>200</v>
      </c>
      <c r="H16" s="2" t="n">
        <v>150</v>
      </c>
      <c r="I16" s="2" t="n">
        <v>850</v>
      </c>
      <c r="J16" s="2" t="n"/>
      <c r="K16" s="2" t="n"/>
      <c r="L16" s="2" t="n">
        <v>0</v>
      </c>
      <c r="M16" s="2" t="n"/>
      <c r="N16" s="2" t="n">
        <v>-850</v>
      </c>
    </row>
    <row r="17">
      <c r="A17" s="2" t="inlineStr">
        <is>
          <t>Romane Cabaret (vient avec Lorraine)</t>
        </is>
      </c>
      <c r="B17" s="2" t="inlineStr">
        <is>
          <t>Fabulo — Collectif</t>
        </is>
      </c>
      <c r="C17" s="2" t="inlineStr">
        <is>
          <t>Masterclass chant</t>
        </is>
      </c>
      <c r="D17" s="2" t="n">
        <v>4</v>
      </c>
      <c r="E17" s="2" t="n">
        <v>2</v>
      </c>
      <c r="F17" s="2" t="n">
        <v>1000</v>
      </c>
      <c r="G17" s="2" t="n">
        <v>200</v>
      </c>
      <c r="H17" s="2" t="n">
        <v>0</v>
      </c>
      <c r="I17" s="2" t="n">
        <v>1200</v>
      </c>
      <c r="J17" s="2" t="n"/>
      <c r="K17" s="2" t="n"/>
      <c r="L17" s="2" t="n">
        <v>0</v>
      </c>
      <c r="M17" s="2" t="n"/>
      <c r="N17" s="2" t="n">
        <v>-1200</v>
      </c>
    </row>
    <row r="18">
      <c r="A18" s="2" t="inlineStr">
        <is>
          <t>Lorraine (famille)</t>
        </is>
      </c>
      <c r="B18" s="2" t="inlineStr">
        <is>
          <t>Fabulo</t>
        </is>
      </c>
      <c r="C18" s="2" t="inlineStr">
        <is>
          <t>Musique &amp; théâtre</t>
        </is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/>
      <c r="K18" s="2" t="n"/>
      <c r="L18" s="2" t="n">
        <v>0</v>
      </c>
      <c r="M18" s="2" t="n"/>
      <c r="N18" s="2" t="n">
        <v>0</v>
      </c>
    </row>
    <row r="19">
      <c r="A19" s="2" t="inlineStr">
        <is>
          <t>Marc Trembovelski</t>
        </is>
      </c>
      <c r="B19" s="2" t="inlineStr">
        <is>
          <t>Classique</t>
        </is>
      </c>
      <c r="C19" s="2" t="n"/>
      <c r="D19" s="2" t="n">
        <v>2</v>
      </c>
      <c r="E19" s="2" t="n">
        <v>0</v>
      </c>
      <c r="F19" s="2" t="n">
        <v>500</v>
      </c>
      <c r="G19" s="2" t="n">
        <v>0</v>
      </c>
      <c r="H19" s="2" t="n">
        <v>200</v>
      </c>
      <c r="I19" s="2" t="n">
        <v>700</v>
      </c>
      <c r="J19" s="2" t="n"/>
      <c r="K19" s="2" t="n"/>
      <c r="L19" s="2" t="n">
        <v>0</v>
      </c>
      <c r="M19" s="2" t="n"/>
      <c r="N19" s="2" t="n">
        <v>-700</v>
      </c>
    </row>
    <row r="20">
      <c r="A20" s="2" t="inlineStr">
        <is>
          <t>Sophie Ehling</t>
        </is>
      </c>
      <c r="B20" s="2" t="inlineStr">
        <is>
          <t>Classique</t>
        </is>
      </c>
      <c r="C20" s="2" t="n"/>
      <c r="D20" s="2" t="n">
        <v>2</v>
      </c>
      <c r="E20" s="2" t="n">
        <v>0</v>
      </c>
      <c r="F20" s="2" t="n">
        <v>500</v>
      </c>
      <c r="G20" s="2" t="n">
        <v>0</v>
      </c>
      <c r="H20" s="2" t="n">
        <v>200</v>
      </c>
      <c r="I20" s="2" t="n">
        <v>700</v>
      </c>
      <c r="J20" s="2" t="n"/>
      <c r="K20" s="2" t="n"/>
      <c r="L20" s="2" t="n">
        <v>0</v>
      </c>
      <c r="M20" s="2" t="n"/>
      <c r="N20" s="2" t="n">
        <v>-700</v>
      </c>
    </row>
    <row r="21">
      <c r="A21" s="2" t="inlineStr">
        <is>
          <t>Jakub Wycislik</t>
        </is>
      </c>
      <c r="B21" s="2" t="inlineStr">
        <is>
          <t>Classique</t>
        </is>
      </c>
      <c r="C21" s="2" t="n"/>
      <c r="D21" s="2" t="n">
        <v>2</v>
      </c>
      <c r="E21" s="2" t="n">
        <v>0</v>
      </c>
      <c r="F21" s="2" t="n">
        <v>500</v>
      </c>
      <c r="G21" s="2" t="n">
        <v>0</v>
      </c>
      <c r="H21" s="2" t="n">
        <v>200</v>
      </c>
      <c r="I21" s="2" t="n">
        <v>700</v>
      </c>
      <c r="J21" s="2" t="n"/>
      <c r="K21" s="2" t="n"/>
      <c r="L21" s="2" t="n">
        <v>0</v>
      </c>
      <c r="M21" s="2" t="n"/>
      <c r="N21" s="2" t="n">
        <v>-700</v>
      </c>
    </row>
    <row r="22">
      <c r="A22" s="2" t="inlineStr">
        <is>
          <t>Beatriz Correia</t>
        </is>
      </c>
      <c r="B22" s="2" t="inlineStr">
        <is>
          <t>Classique</t>
        </is>
      </c>
      <c r="C22" s="2" t="n"/>
      <c r="D22" s="2" t="n">
        <v>2</v>
      </c>
      <c r="E22" s="2" t="n">
        <v>0</v>
      </c>
      <c r="F22" s="2" t="n">
        <v>500</v>
      </c>
      <c r="G22" s="2" t="n">
        <v>0</v>
      </c>
      <c r="H22" s="2" t="n">
        <v>200</v>
      </c>
      <c r="I22" s="2" t="n">
        <v>700</v>
      </c>
      <c r="J22" s="2" t="n"/>
      <c r="K22" s="2" t="n"/>
      <c r="L22" s="2" t="n">
        <v>0</v>
      </c>
      <c r="M22" s="2" t="n"/>
      <c r="N22" s="2" t="n">
        <v>-700</v>
      </c>
    </row>
    <row r="23">
      <c r="A23" s="2" t="inlineStr">
        <is>
          <t>Volodia Van Keulen</t>
        </is>
      </c>
      <c r="B23" s="2" t="inlineStr">
        <is>
          <t>Classique</t>
        </is>
      </c>
      <c r="C23" s="2" t="n"/>
      <c r="D23" s="2" t="n">
        <v>2</v>
      </c>
      <c r="E23" s="2" t="n">
        <v>0</v>
      </c>
      <c r="F23" s="2" t="n">
        <v>500</v>
      </c>
      <c r="G23" s="2" t="n">
        <v>0</v>
      </c>
      <c r="H23" s="2" t="n">
        <v>150</v>
      </c>
      <c r="I23" s="2" t="n">
        <v>650</v>
      </c>
      <c r="J23" s="2" t="n"/>
      <c r="K23" s="2" t="n"/>
      <c r="L23" s="2" t="n">
        <v>0</v>
      </c>
      <c r="M23" s="2" t="n"/>
      <c r="N23" s="2" t="n">
        <v>-650</v>
      </c>
    </row>
    <row r="24">
      <c r="A24" s="2" t="inlineStr">
        <is>
          <t>Augustin Lemonnier (pianiste)</t>
        </is>
      </c>
      <c r="B24" s="2" t="inlineStr">
        <is>
          <t>Classique</t>
        </is>
      </c>
      <c r="C24" s="2" t="n"/>
      <c r="D24" s="2" t="n">
        <v>1</v>
      </c>
      <c r="E24" s="2" t="n">
        <v>0</v>
      </c>
      <c r="F24" s="2" t="n">
        <v>250</v>
      </c>
      <c r="G24" s="2" t="n">
        <v>0</v>
      </c>
      <c r="H24" s="2" t="n">
        <v>150</v>
      </c>
      <c r="I24" s="2" t="n">
        <v>400</v>
      </c>
      <c r="J24" s="2" t="n"/>
      <c r="K24" s="2" t="n"/>
      <c r="L24" s="2" t="n">
        <v>0</v>
      </c>
      <c r="M24" s="2" t="n"/>
      <c r="N24" s="2" t="n">
        <v>-400</v>
      </c>
    </row>
    <row r="25">
      <c r="A25" s="2" t="inlineStr">
        <is>
          <t>Nils Van Keulen (Masterclass)</t>
        </is>
      </c>
      <c r="B25" s="2" t="inlineStr">
        <is>
          <t>Classique</t>
        </is>
      </c>
      <c r="C25" s="2" t="inlineStr">
        <is>
          <t>Masterclass chant</t>
        </is>
      </c>
      <c r="D25" s="2" t="n">
        <v>0</v>
      </c>
      <c r="E25" s="2" t="n">
        <v>1</v>
      </c>
      <c r="F25" s="2" t="n">
        <v>0</v>
      </c>
      <c r="G25" s="2" t="n">
        <v>100</v>
      </c>
      <c r="H25" s="2" t="n">
        <v>0</v>
      </c>
      <c r="I25" s="2" t="n">
        <v>100</v>
      </c>
      <c r="J25" s="2" t="n"/>
      <c r="K25" s="2" t="n"/>
      <c r="L25" s="2" t="n">
        <v>0</v>
      </c>
      <c r="M25" s="2" t="n"/>
      <c r="N25" s="2" t="n">
        <v>-100</v>
      </c>
    </row>
    <row r="26">
      <c r="A26" s="2" t="inlineStr">
        <is>
          <t>Sylvain Septours (vient avec Lewis)</t>
        </is>
      </c>
      <c r="B26" s="2" t="inlineStr">
        <is>
          <t>Théâtre</t>
        </is>
      </c>
      <c r="C26" s="2" t="inlineStr">
        <is>
          <t>Atelier écriture</t>
        </is>
      </c>
      <c r="D26" s="2" t="n">
        <v>0</v>
      </c>
      <c r="E26" s="2" t="n">
        <v>2</v>
      </c>
      <c r="F26" s="2" t="n">
        <v>0</v>
      </c>
      <c r="G26" s="2" t="n">
        <v>200</v>
      </c>
      <c r="H26" s="2" t="n">
        <v>0</v>
      </c>
      <c r="I26" s="2" t="n">
        <v>200</v>
      </c>
      <c r="J26" s="2" t="n"/>
      <c r="K26" s="2" t="n"/>
      <c r="L26" s="2" t="n">
        <v>0</v>
      </c>
      <c r="M26" s="2" t="n"/>
      <c r="N26" s="2" t="n">
        <v>-200</v>
      </c>
    </row>
    <row r="27">
      <c r="A27" s="2" t="inlineStr">
        <is>
          <t>Marius Ponnelle (Treize Clique)</t>
        </is>
      </c>
      <c r="B27" s="2" t="inlineStr">
        <is>
          <t>Théâtre — Collectif</t>
        </is>
      </c>
      <c r="C27" s="2" t="n"/>
      <c r="D27" s="2" t="n">
        <v>1</v>
      </c>
      <c r="E27" s="2" t="n">
        <v>0</v>
      </c>
      <c r="F27" s="2" t="n">
        <v>250</v>
      </c>
      <c r="G27" s="2" t="n">
        <v>0</v>
      </c>
      <c r="H27" s="2" t="n">
        <v>150</v>
      </c>
      <c r="I27" s="2" t="n">
        <v>400</v>
      </c>
      <c r="J27" s="2" t="n"/>
      <c r="K27" s="2" t="n"/>
      <c r="L27" s="2" t="n">
        <v>0</v>
      </c>
      <c r="M27" s="2" t="n"/>
      <c r="N27" s="2" t="n">
        <v>-400</v>
      </c>
    </row>
    <row r="28">
      <c r="A28" s="2" t="inlineStr">
        <is>
          <t>Comédien 2 (Treize Clique)</t>
        </is>
      </c>
      <c r="B28" s="2" t="inlineStr">
        <is>
          <t>Théâtre — Collectif</t>
        </is>
      </c>
      <c r="C28" s="2" t="n"/>
      <c r="D28" s="2" t="n">
        <v>1</v>
      </c>
      <c r="E28" s="2" t="n">
        <v>0</v>
      </c>
      <c r="F28" s="2" t="n">
        <v>250</v>
      </c>
      <c r="G28" s="2" t="n">
        <v>0</v>
      </c>
      <c r="H28" s="2" t="n">
        <v>150</v>
      </c>
      <c r="I28" s="2" t="n">
        <v>400</v>
      </c>
      <c r="J28" s="2" t="n"/>
      <c r="K28" s="2" t="n"/>
      <c r="L28" s="2" t="n">
        <v>0</v>
      </c>
      <c r="M28" s="2" t="n"/>
      <c r="N28" s="2" t="n">
        <v>-400</v>
      </c>
    </row>
    <row r="29">
      <c r="A29" s="2" t="inlineStr">
        <is>
          <t>Comédien 3 (Treize Clique)</t>
        </is>
      </c>
      <c r="B29" s="2" t="inlineStr">
        <is>
          <t>Théâtre — Collectif</t>
        </is>
      </c>
      <c r="C29" s="2" t="n"/>
      <c r="D29" s="2" t="n">
        <v>1</v>
      </c>
      <c r="E29" s="2" t="n">
        <v>0</v>
      </c>
      <c r="F29" s="2" t="n">
        <v>250</v>
      </c>
      <c r="G29" s="2" t="n">
        <v>0</v>
      </c>
      <c r="H29" s="2" t="n">
        <v>150</v>
      </c>
      <c r="I29" s="2" t="n">
        <v>400</v>
      </c>
      <c r="J29" s="2" t="n"/>
      <c r="K29" s="2" t="n"/>
      <c r="L29" s="2" t="n">
        <v>0</v>
      </c>
      <c r="M29" s="2" t="n"/>
      <c r="N29" s="2" t="n">
        <v>-400</v>
      </c>
    </row>
    <row r="30">
      <c r="A30" s="2" t="inlineStr">
        <is>
          <t>Lewis (famille)</t>
        </is>
      </c>
      <c r="B30" s="2" t="inlineStr">
        <is>
          <t>Théâtre</t>
        </is>
      </c>
      <c r="C30" s="2" t="inlineStr">
        <is>
          <t>Éloquence</t>
        </is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/>
      <c r="K30" s="2" t="n"/>
      <c r="L30" s="2" t="n">
        <v>0</v>
      </c>
      <c r="M30" s="2" t="n"/>
      <c r="N30" s="2" t="n">
        <v>0</v>
      </c>
    </row>
    <row r="31">
      <c r="A31" s="2" t="inlineStr">
        <is>
          <t>Cie Nenni ma foi - Patatra (4 art.)</t>
        </is>
      </c>
      <c r="B31" s="2" t="inlineStr">
        <is>
          <t>Théâtre — Coll AP</t>
        </is>
      </c>
      <c r="C31" s="2" t="n"/>
      <c r="D31" s="2" t="n">
        <v>4</v>
      </c>
      <c r="E31" s="2" t="n">
        <v>0</v>
      </c>
      <c r="F31" s="2" t="n">
        <v>1000</v>
      </c>
      <c r="G31" s="2" t="n">
        <v>0</v>
      </c>
      <c r="H31" s="2" t="n">
        <v>0</v>
      </c>
      <c r="I31" s="2" t="n">
        <v>1000</v>
      </c>
      <c r="J31" s="2" t="n"/>
      <c r="K31" s="2" t="n"/>
      <c r="L31" s="2" t="n">
        <v>0</v>
      </c>
      <c r="M31" s="2" t="n"/>
      <c r="N31" s="2" t="n">
        <v>-1000</v>
      </c>
    </row>
    <row r="32">
      <c r="A32" s="2" t="inlineStr">
        <is>
          <t>Cie Vous faites un feu? (2 art.)</t>
        </is>
      </c>
      <c r="B32" s="2" t="inlineStr">
        <is>
          <t>Théâtre — Coll AP</t>
        </is>
      </c>
      <c r="C32" s="2" t="n"/>
      <c r="D32" s="2" t="n">
        <v>2</v>
      </c>
      <c r="E32" s="2" t="n">
        <v>0</v>
      </c>
      <c r="F32" s="2" t="n">
        <v>500</v>
      </c>
      <c r="G32" s="2" t="n">
        <v>0</v>
      </c>
      <c r="H32" s="2" t="n">
        <v>0</v>
      </c>
      <c r="I32" s="2" t="n">
        <v>500</v>
      </c>
      <c r="J32" s="2" t="n"/>
      <c r="K32" s="2" t="n"/>
      <c r="L32" s="2" t="n">
        <v>0</v>
      </c>
      <c r="M32" s="2" t="n"/>
      <c r="N32" s="2" t="n">
        <v>-500</v>
      </c>
    </row>
    <row r="33">
      <c r="A33" s="2" t="inlineStr">
        <is>
          <t>Cie Derrière le mur - Trafic (2 art.)</t>
        </is>
      </c>
      <c r="B33" s="2" t="inlineStr">
        <is>
          <t>Théâtre — Coll AP</t>
        </is>
      </c>
      <c r="C33" s="2" t="n"/>
      <c r="D33" s="2" t="n">
        <v>2</v>
      </c>
      <c r="E33" s="2" t="n">
        <v>0</v>
      </c>
      <c r="F33" s="2" t="n">
        <v>500</v>
      </c>
      <c r="G33" s="2" t="n">
        <v>0</v>
      </c>
      <c r="H33" s="2" t="n">
        <v>0</v>
      </c>
      <c r="I33" s="2" t="n">
        <v>500</v>
      </c>
      <c r="J33" s="2" t="n"/>
      <c r="K33" s="2" t="n"/>
      <c r="L33" s="2" t="n">
        <v>0</v>
      </c>
      <c r="M33" s="2" t="n"/>
      <c r="N33" s="2" t="n">
        <v>-500</v>
      </c>
    </row>
    <row r="34">
      <c r="A34" s="2" t="inlineStr">
        <is>
          <t>Cie L'Entre - V.I.E.N.S dimanche (3 art.)</t>
        </is>
      </c>
      <c r="B34" s="2" t="inlineStr">
        <is>
          <t>Théâtre — Coll AP</t>
        </is>
      </c>
      <c r="C34" s="2" t="n"/>
      <c r="D34" s="2" t="n">
        <v>3</v>
      </c>
      <c r="E34" s="2" t="n">
        <v>0</v>
      </c>
      <c r="F34" s="2" t="n">
        <v>750</v>
      </c>
      <c r="G34" s="2" t="n">
        <v>0</v>
      </c>
      <c r="H34" s="2" t="n">
        <v>0</v>
      </c>
      <c r="I34" s="2" t="n">
        <v>750</v>
      </c>
      <c r="J34" s="2" t="n"/>
      <c r="K34" s="2" t="n"/>
      <c r="L34" s="2" t="n">
        <v>0</v>
      </c>
      <c r="M34" s="2" t="n"/>
      <c r="N34" s="2" t="n">
        <v>-750</v>
      </c>
    </row>
    <row r="35">
      <c r="A35" s="2" t="inlineStr">
        <is>
          <t>À travers la fenêtre des heures (2 art.) - Belgique</t>
        </is>
      </c>
      <c r="B35" s="2" t="inlineStr">
        <is>
          <t>Classique — Coll</t>
        </is>
      </c>
      <c r="C35" s="2" t="n"/>
      <c r="D35" s="2" t="n">
        <v>2</v>
      </c>
      <c r="E35" s="2" t="n">
        <v>0</v>
      </c>
      <c r="F35" s="2" t="n">
        <v>500</v>
      </c>
      <c r="G35" s="2" t="n">
        <v>0</v>
      </c>
      <c r="H35" s="2" t="n">
        <v>400</v>
      </c>
      <c r="I35" s="2" t="n">
        <v>900</v>
      </c>
      <c r="J35" s="2" t="n"/>
      <c r="K35" s="2" t="n"/>
      <c r="L35" s="2" t="n">
        <v>0</v>
      </c>
      <c r="M35" s="2" t="n"/>
      <c r="N35" s="2" t="n">
        <v>-900</v>
      </c>
    </row>
    <row r="36">
      <c r="A36" s="17" t="inlineStr">
        <is>
          <t>TOTAL ARTISTES</t>
        </is>
      </c>
      <c r="B36" s="17" t="n"/>
      <c r="C36" s="17" t="n"/>
      <c r="D36" s="17">
        <f>SUM(D3:D35)</f>
        <v/>
      </c>
      <c r="E36" s="17">
        <f>SUM(E3:E35)</f>
        <v/>
      </c>
      <c r="F36" s="17">
        <f>SUM(F3:F35)</f>
        <v/>
      </c>
      <c r="G36" s="17">
        <f>SUM(G3:G35)</f>
        <v/>
      </c>
      <c r="H36" s="17">
        <f>SUM(H3:H35)</f>
        <v/>
      </c>
      <c r="I36" s="17">
        <f>SUM(I3:I35)</f>
        <v/>
      </c>
      <c r="J36" s="17">
        <f>SUM(J3:J35)</f>
        <v/>
      </c>
      <c r="K36" s="17">
        <f>SUM(K3:K35)</f>
        <v/>
      </c>
      <c r="L36" s="17">
        <f>SUM(L3:L35)</f>
        <v/>
      </c>
      <c r="M36" s="17" t="n"/>
      <c r="N36" s="17">
        <f>SUM(N3:N35)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55" customWidth="1" style="39" min="1" max="1"/>
    <col width="10" customWidth="1" style="39" min="2" max="2"/>
    <col width="22" customWidth="1" style="39" min="3" max="3"/>
    <col width="35" customWidth="1" style="39" min="4" max="4"/>
    <col width="50" customWidth="1" style="39" min="5" max="5"/>
    <col width="10" customWidth="1" style="39" min="6" max="6"/>
  </cols>
  <sheetData>
    <row r="1" ht="24" customHeight="1" s="39">
      <c r="A1" s="98" t="inlineStr">
        <is>
          <t>LOGISTIQUE — Dépenses (incl. Régis Régis + demandes Ville Besançon)</t>
        </is>
      </c>
    </row>
    <row r="3">
      <c r="A3" s="99" t="inlineStr">
        <is>
          <t>Description</t>
        </is>
      </c>
      <c r="B3" s="99" t="inlineStr">
        <is>
          <t>Prévu €</t>
        </is>
      </c>
      <c r="C3" s="99" t="inlineStr">
        <is>
          <t>Statut</t>
        </is>
      </c>
      <c r="D3" s="99" t="inlineStr">
        <is>
          <t>Source / Devis</t>
        </is>
      </c>
      <c r="E3" s="99" t="inlineStr">
        <is>
          <t>Note</t>
        </is>
      </c>
      <c r="F3" s="99" t="inlineStr">
        <is>
          <t>Réel €</t>
        </is>
      </c>
    </row>
    <row r="4">
      <c r="A4" s="100" t="inlineStr">
        <is>
          <t>Régis Régis — Rédaction dossier sécurité (3j × 400 € HT, TTC)</t>
        </is>
      </c>
      <c r="B4" s="100" t="n">
        <v>1440</v>
      </c>
      <c r="C4" s="100" t="inlineStr">
        <is>
          <t>Devis reçu</t>
        </is>
      </c>
      <c r="D4" s="100" t="inlineStr">
        <is>
          <t>Devis DE2026002 du 26/02/2026</t>
        </is>
      </c>
      <c r="E4" s="100" t="inlineStr">
        <is>
          <t>Vigipirate + sanitaire + sûreté + plans Vectorworks</t>
        </is>
      </c>
      <c r="F4" s="100" t="n"/>
    </row>
    <row r="5">
      <c r="A5" s="100" t="inlineStr">
        <is>
          <t>Régis Régis — Préparation régie site (2j × 400 € HT, TTC)</t>
        </is>
      </c>
      <c r="B5" s="100" t="n">
        <v>960</v>
      </c>
      <c r="C5" s="100" t="inlineStr">
        <is>
          <t>Devis reçu</t>
        </is>
      </c>
      <c r="D5" s="100" t="inlineStr">
        <is>
          <t>Devis DE2026002 du 26/02/2026</t>
        </is>
      </c>
      <c r="E5" s="100" t="inlineStr">
        <is>
          <t>Compilation besoins + analyse faisabilité + coordination</t>
        </is>
      </c>
      <c r="F5" s="100" t="n"/>
    </row>
    <row r="6">
      <c r="A6" s="100" t="inlineStr">
        <is>
          <t>Régis Régis — Régisseur Montage 2j + Exploitation 3j + Démontage 1j (TTC)</t>
        </is>
      </c>
      <c r="B6" s="100" t="n">
        <v>2880</v>
      </c>
      <c r="C6" s="100" t="inlineStr">
        <is>
          <t>Devis reçu</t>
        </is>
      </c>
      <c r="D6" s="100" t="inlineStr">
        <is>
          <t>Devis DE2026002 du 26/02/2026</t>
        </is>
      </c>
      <c r="E6" s="100" t="inlineStr">
        <is>
          <t>Régisseur site présent du 26/08 au 31/08 - repas à fournir asso</t>
        </is>
      </c>
      <c r="F6" s="100" t="n"/>
    </row>
    <row r="7">
      <c r="A7" s="101" t="inlineStr">
        <is>
          <t>Location salle/terrain La Grange Huguenet</t>
        </is>
      </c>
      <c r="B7" s="101" t="n">
        <v>3000</v>
      </c>
      <c r="C7" s="101" t="inlineStr">
        <is>
          <t>À négocier</t>
        </is>
      </c>
      <c r="D7" s="101" t="inlineStr">
        <is>
          <t>Convention propriétaire à signer mai 2026</t>
        </is>
      </c>
      <c r="E7" s="101" t="inlineStr">
        <is>
          <t>Cf. Calendrier_demarches_administratives.md</t>
        </is>
      </c>
      <c r="F7" s="101" t="n"/>
    </row>
    <row r="8">
      <c r="A8" s="101" t="inlineStr">
        <is>
          <t>Sonorisation pro (scène principale + petites scènes)</t>
        </is>
      </c>
      <c r="B8" s="101" t="n">
        <v>3000</v>
      </c>
      <c r="C8" s="101" t="inlineStr">
        <is>
          <t>À devis</t>
        </is>
      </c>
      <c r="D8" s="101" t="inlineStr">
        <is>
          <t>Devis non reçu</t>
        </is>
      </c>
      <c r="E8" s="101" t="inlineStr">
        <is>
          <t>À demander - prestataire local Besançon</t>
        </is>
      </c>
      <c r="F8" s="101" t="n"/>
    </row>
    <row r="9">
      <c r="A9" s="101" t="inlineStr">
        <is>
          <t>Éclairage / lumière scène + ambiance</t>
        </is>
      </c>
      <c r="B9" s="101" t="n">
        <v>2000</v>
      </c>
      <c r="C9" s="101" t="inlineStr">
        <is>
          <t>À devis</t>
        </is>
      </c>
      <c r="D9" s="101" t="inlineStr">
        <is>
          <t>Devis non reçu</t>
        </is>
      </c>
      <c r="E9" s="101" t="inlineStr">
        <is>
          <t>À demander en cohérence avec sonorisation</t>
        </is>
      </c>
      <c r="F9" s="101" t="n"/>
    </row>
    <row r="10">
      <c r="A10" s="101" t="inlineStr">
        <is>
          <t>Scène / podium principal</t>
        </is>
      </c>
      <c r="B10" s="101" t="n">
        <v>2000</v>
      </c>
      <c r="C10" s="101" t="inlineStr">
        <is>
          <t>À devis OU Demande Ville</t>
        </is>
      </c>
      <c r="D10" s="101" t="inlineStr">
        <is>
          <t>Devis non reçu</t>
        </is>
      </c>
      <c r="E10" s="101" t="inlineStr">
        <is>
          <t>DEMANDE VILLE : podium roulant rouge et blanc (CR 18/01)</t>
        </is>
      </c>
      <c r="F10" s="101" t="n"/>
    </row>
    <row r="11">
      <c r="A11" s="101" t="inlineStr">
        <is>
          <t>Toilettes / sanitaires Trivial Compost (cabine PMR + urinoir + sanitaires compost)</t>
        </is>
      </c>
      <c r="B11" s="101" t="n">
        <v>1500</v>
      </c>
      <c r="C11" s="101" t="inlineStr">
        <is>
          <t>À devis</t>
        </is>
      </c>
      <c r="D11" s="101" t="inlineStr">
        <is>
          <t>Trivial Compost - devis à demander</t>
        </is>
      </c>
      <c r="E11" s="101" t="inlineStr">
        <is>
          <t>Charte éthique : toilettes sèches</t>
        </is>
      </c>
      <c r="F11" s="101" t="n"/>
    </row>
    <row r="12">
      <c r="A12" s="101" t="inlineStr">
        <is>
          <t>Électricité / groupe électrogène</t>
        </is>
      </c>
      <c r="B12" s="101" t="n">
        <v>1500</v>
      </c>
      <c r="C12" s="101" t="inlineStr">
        <is>
          <t>À devis</t>
        </is>
      </c>
      <c r="D12" s="101" t="inlineStr">
        <is>
          <t>Devis non reçu</t>
        </is>
      </c>
      <c r="E12" s="101" t="inlineStr">
        <is>
          <t>Vérifier ampérage avec Grange + percolateurs/friteuses F&amp;B</t>
        </is>
      </c>
      <c r="F12" s="101" t="n"/>
    </row>
    <row r="13">
      <c r="A13" s="102" t="inlineStr">
        <is>
          <t>Barrières Heras 3×35 + Vauban 300 unités</t>
        </is>
      </c>
      <c r="B13" s="102" t="n">
        <v>1000</v>
      </c>
      <c r="C13" s="102" t="inlineStr">
        <is>
          <t>DEMANDE VILLE</t>
        </is>
      </c>
      <c r="D13" s="102" t="inlineStr">
        <is>
          <t>Demande visite faite 02/03/2026</t>
        </is>
      </c>
      <c r="E13" s="102" t="inlineStr">
        <is>
          <t>0 € si Ville accorde - 1000 € sinon (achat/location)</t>
        </is>
      </c>
      <c r="F13" s="102" t="n"/>
    </row>
    <row r="14">
      <c r="A14" s="102" t="inlineStr">
        <is>
          <t>Mobilier : 25 tables + 50 bancs + 200 chaises</t>
        </is>
      </c>
      <c r="B14" s="102" t="n">
        <v>1000</v>
      </c>
      <c r="C14" s="102" t="inlineStr">
        <is>
          <t>DEMANDE VILLE</t>
        </is>
      </c>
      <c r="D14" s="102" t="inlineStr">
        <is>
          <t>Demande visite faite 02/03/2026</t>
        </is>
      </c>
      <c r="E14" s="102" t="inlineStr">
        <is>
          <t>0 € si Ville accorde - 1000 € sinon (location)</t>
        </is>
      </c>
      <c r="F14" s="102" t="n"/>
    </row>
    <row r="15">
      <c r="A15" s="102" t="inlineStr">
        <is>
          <t>Poubelles double flux × 5</t>
        </is>
      </c>
      <c r="B15" s="102" t="n">
        <v>0</v>
      </c>
      <c r="C15" s="102" t="inlineStr">
        <is>
          <t>DEMANDE VILLE</t>
        </is>
      </c>
      <c r="D15" s="102" t="inlineStr">
        <is>
          <t>Demande visite faite 02/03/2026</t>
        </is>
      </c>
      <c r="E15" s="102" t="inlineStr">
        <is>
          <t>Mention CR 18/01 - probablement 0 € si Ville accorde</t>
        </is>
      </c>
      <c r="F15" s="102" t="n"/>
    </row>
    <row r="16">
      <c r="A16" s="102" t="inlineStr">
        <is>
          <t>Vitabris (tentes pliables avec murs et lestes)</t>
        </is>
      </c>
      <c r="B16" s="102" t="n">
        <v>500</v>
      </c>
      <c r="C16" s="102" t="inlineStr">
        <is>
          <t>DEMANDE VILLE</t>
        </is>
      </c>
      <c r="D16" s="102" t="inlineStr">
        <is>
          <t>Demande visite faite 02/03/2026</t>
        </is>
      </c>
      <c r="E16" s="102" t="inlineStr">
        <is>
          <t>0 € si Ville accorde - 500 € sinon (location)</t>
        </is>
      </c>
      <c r="F16" s="102" t="n"/>
    </row>
    <row r="17">
      <c r="A17" s="102" t="inlineStr">
        <is>
          <t>État sanitaire des arbres</t>
        </is>
      </c>
      <c r="B17" s="102" t="n">
        <v>0</v>
      </c>
      <c r="C17" s="102" t="inlineStr">
        <is>
          <t>DEMANDE VILLE - aide partenariat</t>
        </is>
      </c>
      <c r="D17" s="102" t="inlineStr">
        <is>
          <t>CR 02/03 - en attente réponse Ville</t>
        </is>
      </c>
      <c r="E17" s="102" t="inlineStr">
        <is>
          <t>Coût plein 5-15 K€ si à charge asso. Négocier prise en charge Ville/Grange/CFA</t>
        </is>
      </c>
      <c r="F17" s="102" t="n"/>
    </row>
    <row r="18">
      <c r="A18" s="101" t="inlineStr">
        <is>
          <t>Talkies-walkies × 4</t>
        </is>
      </c>
      <c r="B18" s="101" t="n">
        <v>100</v>
      </c>
      <c r="C18" s="101" t="inlineStr">
        <is>
          <t>À acheter</t>
        </is>
      </c>
      <c r="D18" s="101" t="inlineStr">
        <is>
          <t>Détail dans Billetterie.md L309</t>
        </is>
      </c>
      <c r="E18" s="101" t="inlineStr">
        <is>
          <t>Ou prêt si possible</t>
        </is>
      </c>
      <c r="F18" s="101" t="n"/>
    </row>
    <row r="19">
      <c r="A19" s="103" t="inlineStr">
        <is>
          <t>TOTAL LOGISTIQUE (hypothèse haute - Ville n'accorde rien)</t>
        </is>
      </c>
      <c r="B19" s="103">
        <f>SUM(B4:B18)</f>
        <v/>
      </c>
      <c r="C19" s="103" t="n"/>
      <c r="D19" s="103" t="n"/>
      <c r="E19" s="103" t="n"/>
      <c r="F19" s="103">
        <f>SUM(F4:F18)</f>
        <v/>
      </c>
    </row>
    <row r="20">
      <c r="A20" s="104" t="inlineStr">
        <is>
          <t>TOTAL LOGISTIQUE (hypothèse basse - Ville accorde barrières + mobilier + vitabris)</t>
        </is>
      </c>
      <c r="B20" s="104">
        <f>B19-1000-1000-500</f>
        <v/>
      </c>
      <c r="C20" s="104" t="n"/>
      <c r="D20" s="104" t="n"/>
      <c r="E20" s="104" t="n"/>
      <c r="F20" s="104" t="n"/>
    </row>
    <row r="22" ht="16" customHeight="1" s="39">
      <c r="A22" s="105" t="inlineStr">
        <is>
          <t>LÉGENDE :</t>
        </is>
      </c>
    </row>
    <row r="23" ht="16" customHeight="1" s="39">
      <c r="A23" s="105" t="inlineStr">
        <is>
          <t xml:space="preserve">  Vert : Devis reçu et confirmé (Régis Régis 5 280 € TTC)</t>
        </is>
      </c>
    </row>
    <row r="24" ht="16" customHeight="1" s="39">
      <c r="A24" s="105" t="inlineStr">
        <is>
          <t xml:space="preserve">  Orange : Demande à la Ville de Besançon (en attente confirmation - 0 € si accordé, montant indiqué sinon)</t>
        </is>
      </c>
    </row>
    <row r="25" ht="16" customHeight="1" s="39">
      <c r="A25" s="105" t="inlineStr">
        <is>
          <t xml:space="preserve">  Sans couleur : À demander en devis ou négocier</t>
        </is>
      </c>
    </row>
    <row r="26" ht="16" customHeight="1" s="39">
      <c r="A26" s="105" t="inlineStr"/>
    </row>
    <row r="27" ht="16" customHeight="1" s="39">
      <c r="A27" s="105" t="inlineStr">
        <is>
          <t>DÉTAIL DEVIS RÉGIS RÉGIS DE2026002 (échéance 05/03/2026 - À RECONFIRMER) :</t>
        </is>
      </c>
    </row>
    <row r="28" ht="16" customHeight="1" s="39">
      <c r="A28" s="105" t="inlineStr">
        <is>
          <t xml:space="preserve">  - 4 400 € HT + TVA 20% = 5 280 € TTC</t>
        </is>
      </c>
    </row>
    <row r="29" ht="16" customHeight="1" s="39">
      <c r="A29" s="105" t="inlineStr">
        <is>
          <t xml:space="preserve">  - Date d'échéance dépassée → demander devis actualisé ou confirmation validité</t>
        </is>
      </c>
    </row>
    <row r="30" ht="16" customHeight="1" s="39">
      <c r="A30" s="105" t="inlineStr">
        <is>
          <t xml:space="preserve">  - À PRÉVOIR par asso : repas du régisseur pendant montage/exploitation/démontage (6 jours)</t>
        </is>
      </c>
    </row>
    <row r="31" ht="16" customHeight="1" s="39">
      <c r="A31" s="105" t="inlineStr"/>
    </row>
    <row r="32" ht="16" customHeight="1" s="39">
      <c r="A32" s="105" t="inlineStr">
        <is>
          <t>DEMANDES VILLE BESANÇON (CR 18/01 + 02/03) - statut au 03/05/2026 :</t>
        </is>
      </c>
    </row>
    <row r="33" ht="16" customHeight="1" s="39">
      <c r="A33" s="105" t="inlineStr">
        <is>
          <t xml:space="preserve">  - Visite du lieu pour matériel et sécurité demandée le 02/03/2026 (en attente réponse)</t>
        </is>
      </c>
    </row>
    <row r="34" ht="16" customHeight="1" s="39">
      <c r="A34" s="105" t="inlineStr">
        <is>
          <t xml:space="preserve">  - Voir fiche détaillée : officiel/partenaires/Demandes_Ville_Besancon.md</t>
        </is>
      </c>
    </row>
    <row r="35" ht="16" customHeight="1" s="39">
      <c r="A35" s="105" t="inlineStr">
        <is>
          <t xml:space="preserve">  - Économie potentielle si toutes demandes accordées : -2 500 € (barrières + mobilier + vitabris)</t>
        </is>
      </c>
    </row>
    <row r="36" ht="16" customHeight="1" s="39">
      <c r="A36" s="105" t="inlineStr"/>
    </row>
    <row r="37" ht="16" customHeight="1" s="39">
      <c r="A37" s="105" t="inlineStr">
        <is>
          <t>HORS PÉRIMÈTRE LOGISTIQUE (gérés ailleurs) :</t>
        </is>
      </c>
    </row>
    <row r="38" ht="16" customHeight="1" s="39">
      <c r="A38" s="105" t="inlineStr">
        <is>
          <t xml:space="preserve">  - Percolateurs ABC LOCATION (devis D0022382 = 265 € TTC) → onglet F&amp;B</t>
        </is>
      </c>
    </row>
    <row r="39" ht="16" customHeight="1" s="39">
      <c r="A39" s="105" t="inlineStr">
        <is>
          <t xml:space="preserve">  - Friteuses ABC LOCATION → onglet F&amp;B (à confirmer dans devis séparé)</t>
        </is>
      </c>
    </row>
    <row r="40" ht="16" customHeight="1" s="39">
      <c r="A40" s="105" t="inlineStr">
        <is>
          <t xml:space="preserve">  - Iphone billetterie + jetons billetterie + gobelets billetterie → cf. Billetterie.md (1 831 €)</t>
        </is>
      </c>
    </row>
  </sheetData>
  <mergeCells count="20">
    <mergeCell ref="A37:F37"/>
    <mergeCell ref="A27:F27"/>
    <mergeCell ref="A26:F26"/>
    <mergeCell ref="A33:F33"/>
    <mergeCell ref="A23:F23"/>
    <mergeCell ref="A32:F32"/>
    <mergeCell ref="A22:F22"/>
    <mergeCell ref="A35:F35"/>
    <mergeCell ref="A29:F29"/>
    <mergeCell ref="A38:F38"/>
    <mergeCell ref="A28:F28"/>
    <mergeCell ref="A31:F31"/>
    <mergeCell ref="A34:F34"/>
    <mergeCell ref="A40:F40"/>
    <mergeCell ref="A30:F30"/>
    <mergeCell ref="A39:F39"/>
    <mergeCell ref="A24:F24"/>
    <mergeCell ref="A36:F36"/>
    <mergeCell ref="A1:F1"/>
    <mergeCell ref="A25:F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F1"/>
    </sheetView>
  </sheetViews>
  <sheetFormatPr baseColWidth="10" defaultColWidth="8.88671875" defaultRowHeight="14.4"/>
  <cols>
    <col width="35" customWidth="1" style="39" min="1" max="2"/>
    <col width="11" customWidth="1" style="39" min="3" max="3"/>
    <col width="17" customWidth="1" style="39" min="4" max="6"/>
  </cols>
  <sheetData>
    <row r="1" ht="15.6" customHeight="1" s="39">
      <c r="A1" s="38" t="inlineStr">
        <is>
          <t>FRAIS DIVERS — Recettes &amp; Dépenses</t>
        </is>
      </c>
    </row>
    <row r="3" ht="15.6" customHeight="1" s="39">
      <c r="A3" s="38" t="inlineStr">
        <is>
          <t>Recettes (subventions, dons, sponsors)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n"/>
      <c r="C6" s="2" t="n"/>
      <c r="D6" s="5" t="n"/>
      <c r="E6" s="5" t="n"/>
      <c r="F6" s="5">
        <f>E6-D6</f>
        <v/>
      </c>
    </row>
    <row r="7">
      <c r="A7" s="15" t="n"/>
      <c r="B7" s="2" t="n"/>
      <c r="C7" s="2" t="n"/>
      <c r="D7" s="5" t="n"/>
      <c r="E7" s="5" t="n"/>
      <c r="F7" s="5">
        <f>E7-D7</f>
        <v/>
      </c>
    </row>
    <row r="8">
      <c r="A8" s="15" t="n"/>
      <c r="B8" s="2" t="n"/>
      <c r="C8" s="2" t="n"/>
      <c r="D8" s="5" t="n"/>
      <c r="E8" s="5" t="n"/>
      <c r="F8" s="5">
        <f>E8-D8</f>
        <v/>
      </c>
    </row>
    <row r="9">
      <c r="A9" s="15" t="n"/>
      <c r="B9" s="2" t="n"/>
      <c r="C9" s="2" t="n"/>
      <c r="D9" s="5" t="n"/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2">
      <c r="A12" s="6" t="inlineStr">
        <is>
          <t>TOTAL RECETTES DIVERS</t>
        </is>
      </c>
      <c r="B12" s="6" t="n"/>
      <c r="C12" s="6" t="n"/>
      <c r="D12" s="7">
        <f>SUM(D6:D10)</f>
        <v/>
      </c>
      <c r="E12" s="7">
        <f>SUM(E6:E10)</f>
        <v/>
      </c>
      <c r="F12" s="7">
        <f>SUM(F6:F10)</f>
        <v/>
      </c>
    </row>
    <row r="14" ht="15.6" customHeight="1" s="39">
      <c r="A14" s="38" t="inlineStr">
        <is>
          <t>Dépenses (SACEM, communication, assurance, admin, imprévus)</t>
        </is>
      </c>
    </row>
    <row r="16">
      <c r="A16" s="1" t="inlineStr">
        <is>
          <t>Date</t>
        </is>
      </c>
      <c r="B16" s="1" t="inlineStr">
        <is>
          <t>Description</t>
        </is>
      </c>
      <c r="C16" s="1" t="inlineStr">
        <is>
          <t>Type</t>
        </is>
      </c>
      <c r="D16" s="1" t="inlineStr">
        <is>
          <t>Prévu</t>
        </is>
      </c>
      <c r="E16" s="1" t="inlineStr">
        <is>
          <t>Réel</t>
        </is>
      </c>
      <c r="F16" s="1" t="inlineStr">
        <is>
          <t>Écart</t>
        </is>
      </c>
    </row>
    <row r="17">
      <c r="A17" s="15" t="n"/>
      <c r="B17" s="2" t="inlineStr">
        <is>
          <t>SACEM Billetterie (8,8%)</t>
        </is>
      </c>
      <c r="C17" s="2" t="inlineStr">
        <is>
          <t>Dépense</t>
        </is>
      </c>
      <c r="D17" s="5" t="n">
        <v>1993</v>
      </c>
      <c r="E17" s="5" t="n"/>
      <c r="F17" s="5">
        <f>E17-D17</f>
        <v/>
      </c>
    </row>
    <row r="18">
      <c r="A18" s="15" t="n"/>
      <c r="B18" s="2" t="inlineStr">
        <is>
          <t>SACEM Restauration/Buvettes (4,4%)</t>
        </is>
      </c>
      <c r="C18" s="2" t="inlineStr">
        <is>
          <t>Dépense</t>
        </is>
      </c>
      <c r="D18" s="5" t="n">
        <v>1427</v>
      </c>
      <c r="E18" s="5" t="n"/>
      <c r="F18" s="5">
        <f>E18-D18</f>
        <v/>
      </c>
    </row>
    <row r="19">
      <c r="A19" s="15" t="n"/>
      <c r="B19" s="2" t="inlineStr">
        <is>
          <t>Assurance événement</t>
        </is>
      </c>
      <c r="C19" s="2" t="inlineStr">
        <is>
          <t>Dépense</t>
        </is>
      </c>
      <c r="D19" s="5" t="n">
        <v>1000</v>
      </c>
      <c r="E19" s="5" t="n"/>
      <c r="F19" s="5">
        <f>E19-D19</f>
        <v/>
      </c>
    </row>
    <row r="20">
      <c r="A20" s="15" t="n"/>
      <c r="B20" s="2" t="inlineStr">
        <is>
          <t>Communication (affiches, flyers, vidéo)</t>
        </is>
      </c>
      <c r="C20" s="2" t="inlineStr">
        <is>
          <t>Dépense</t>
        </is>
      </c>
      <c r="D20" s="5" t="n">
        <v>1000</v>
      </c>
      <c r="E20" s="5" t="n"/>
      <c r="F20" s="5">
        <f>E20-D20</f>
        <v/>
      </c>
    </row>
    <row r="21">
      <c r="A21" s="15" t="n"/>
      <c r="B21" s="2" t="inlineStr">
        <is>
          <t>Frais administratifs</t>
        </is>
      </c>
      <c r="C21" s="2" t="inlineStr">
        <is>
          <t>Dépense</t>
        </is>
      </c>
      <c r="D21" s="5" t="n">
        <v>500</v>
      </c>
      <c r="E21" s="5" t="n"/>
      <c r="F21" s="5">
        <f>E21-D21</f>
        <v/>
      </c>
    </row>
    <row r="22">
      <c r="A22" s="15" t="n"/>
      <c r="B22" s="2" t="inlineStr">
        <is>
          <t>Imprévus</t>
        </is>
      </c>
      <c r="C22" s="2" t="inlineStr">
        <is>
          <t>Dépense</t>
        </is>
      </c>
      <c r="D22" s="5" t="n">
        <v>500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6">
      <c r="A26" s="15" t="n"/>
      <c r="B26" s="2" t="n"/>
      <c r="C26" s="2" t="n"/>
      <c r="D26" s="5" t="n"/>
      <c r="E26" s="5" t="n"/>
      <c r="F26" s="5">
        <f>E26-D26</f>
        <v/>
      </c>
    </row>
    <row r="27">
      <c r="A27" s="15" t="n"/>
      <c r="B27" s="2" t="n"/>
      <c r="C27" s="2" t="n"/>
      <c r="D27" s="5" t="n"/>
      <c r="E27" s="5" t="n"/>
      <c r="F27" s="5">
        <f>E27-D27</f>
        <v/>
      </c>
    </row>
    <row r="29">
      <c r="A29" s="6" t="inlineStr">
        <is>
          <t>TOTAL DÉPENSES DIVERS</t>
        </is>
      </c>
      <c r="B29" s="6" t="n"/>
      <c r="C29" s="6" t="n"/>
      <c r="D29" s="7">
        <f>SUM(D17:D27)</f>
        <v/>
      </c>
      <c r="E29" s="7">
        <f>SUM(E17:E27)</f>
        <v/>
      </c>
      <c r="F29" s="7">
        <f>SUM(F17:F27)</f>
        <v/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selection activeCell="A1" sqref="A1"/>
    </sheetView>
  </sheetViews>
  <sheetFormatPr baseColWidth="8" defaultRowHeight="15"/>
  <cols>
    <col width="14" customWidth="1" style="39" min="1" max="1"/>
    <col width="16" customWidth="1" style="39" min="2" max="2"/>
    <col width="70" customWidth="1" style="39" min="3" max="3"/>
    <col width="13" customWidth="1" style="39" min="4" max="4"/>
    <col width="13" customWidth="1" style="39" min="5" max="5"/>
    <col width="14" customWidth="1" style="39" min="6" max="6"/>
  </cols>
  <sheetData>
    <row r="1" ht="24" customHeight="1" s="39">
      <c r="A1" s="98" t="inlineStr">
        <is>
          <t>TRÉSORERIE — Plan détaillé des dépenses pré-festival (mai → août 2026)</t>
        </is>
      </c>
    </row>
    <row r="3">
      <c r="A3" s="108" t="inlineStr">
        <is>
          <t>FLUX HISTORIQUES (déjà passés au 03/05/2026)</t>
        </is>
      </c>
    </row>
    <row r="5">
      <c r="A5" s="109" t="inlineStr">
        <is>
          <t>Date</t>
        </is>
      </c>
      <c r="B5" s="109" t="inlineStr">
        <is>
          <t>Catégorie</t>
        </is>
      </c>
      <c r="C5" s="109" t="inlineStr">
        <is>
          <t>Description</t>
        </is>
      </c>
      <c r="D5" s="109" t="inlineStr">
        <is>
          <t>Entrée</t>
        </is>
      </c>
      <c r="E5" s="109" t="inlineStr">
        <is>
          <t>Sortie</t>
        </is>
      </c>
      <c r="F5" s="109" t="inlineStr">
        <is>
          <t>Solde</t>
        </is>
      </c>
    </row>
    <row r="6">
      <c r="A6" s="110" t="inlineStr">
        <is>
          <t>23/04/2026</t>
        </is>
      </c>
      <c r="B6" s="110" t="inlineStr">
        <is>
          <t>Crowdfunding</t>
        </is>
      </c>
      <c r="C6" s="110" t="inlineStr">
        <is>
          <t>Cumul 14 dons HelloAsso au 23/04</t>
        </is>
      </c>
      <c r="D6" s="110" t="n">
        <v>845</v>
      </c>
      <c r="E6" s="110" t="n"/>
      <c r="F6" s="110" t="n">
        <v>845</v>
      </c>
    </row>
    <row r="7">
      <c r="A7" s="110" t="inlineStr">
        <is>
          <t>20/04/2026</t>
        </is>
      </c>
      <c r="B7" s="110" t="inlineStr">
        <is>
          <t>Don Charles</t>
        </is>
      </c>
      <c r="C7" s="110" t="inlineStr">
        <is>
          <t>Don manuel par virement Qonto</t>
        </is>
      </c>
      <c r="D7" s="110" t="n">
        <v>1000</v>
      </c>
      <c r="E7" s="110" t="n"/>
      <c r="F7" s="110" t="n">
        <v>1845</v>
      </c>
    </row>
    <row r="8">
      <c r="A8" s="110" t="inlineStr">
        <is>
          <t>Avr-Mai 2026</t>
        </is>
      </c>
      <c r="B8" s="110" t="inlineStr">
        <is>
          <t>Frais divers</t>
        </is>
      </c>
      <c r="C8" s="110" t="inlineStr">
        <is>
          <t>Petites dépenses opérationnelles cumul (cartes de visite, frais admin)</t>
        </is>
      </c>
      <c r="D8" s="110" t="n"/>
      <c r="E8" s="110" t="n">
        <v>255</v>
      </c>
      <c r="F8" s="110" t="n">
        <v>1590</v>
      </c>
    </row>
    <row r="9">
      <c r="A9" s="110" t="inlineStr">
        <is>
          <t>01/05/2026</t>
        </is>
      </c>
      <c r="B9" s="110" t="inlineStr">
        <is>
          <t>Crowdfunding</t>
        </is>
      </c>
      <c r="C9" s="110" t="inlineStr">
        <is>
          <t>Cumul dons supplémentaires (23/04 → 01/05)</t>
        </is>
      </c>
      <c r="D9" s="110" t="n">
        <v>360</v>
      </c>
      <c r="E9" s="110" t="n"/>
      <c r="F9" s="110" t="n">
        <v>1950</v>
      </c>
    </row>
    <row r="10">
      <c r="A10" s="103" t="n"/>
      <c r="B10" s="103" t="inlineStr">
        <is>
          <t>SOLDE Qonto estimé au 03/05/2026</t>
        </is>
      </c>
      <c r="C10" s="103" t="n"/>
      <c r="D10" s="103" t="n"/>
      <c r="E10" s="103" t="n"/>
      <c r="F10" s="103" t="n">
        <v>1950</v>
      </c>
    </row>
    <row r="12">
      <c r="A12" s="111" t="inlineStr">
        <is>
          <t>MAI 2026 — Dépenses prévues</t>
        </is>
      </c>
    </row>
    <row r="14">
      <c r="A14" s="109" t="inlineStr">
        <is>
          <t>Échéance</t>
        </is>
      </c>
      <c r="B14" s="109" t="inlineStr">
        <is>
          <t>Pôle</t>
        </is>
      </c>
      <c r="C14" s="109" t="inlineStr">
        <is>
          <t>Description</t>
        </is>
      </c>
      <c r="D14" s="109" t="inlineStr">
        <is>
          <t>Montant prévu</t>
        </is>
      </c>
      <c r="E14" s="109" t="inlineStr">
        <is>
          <t>Statut</t>
        </is>
      </c>
      <c r="F14" s="109" t="inlineStr">
        <is>
          <t>Note</t>
        </is>
      </c>
    </row>
    <row r="15">
      <c r="A15" s="110" t="n"/>
      <c r="B15" s="110" t="inlineStr">
        <is>
          <t>Admin</t>
        </is>
      </c>
      <c r="C15" s="110" t="inlineStr">
        <is>
          <t>Souscription assurance RC pro festival (prime annuelle estimative)</t>
        </is>
      </c>
      <c r="D15" s="110" t="n">
        <v>800</v>
      </c>
      <c r="E15" s="110" t="inlineStr">
        <is>
          <t>Prévu</t>
        </is>
      </c>
      <c r="F15" s="110" t="inlineStr">
        <is>
          <t>Cible AIAC ou MAIF — 600-1000 €</t>
        </is>
      </c>
    </row>
    <row r="16">
      <c r="A16" s="110" t="n"/>
      <c r="B16" s="110" t="inlineStr">
        <is>
          <t>Admin</t>
        </is>
      </c>
      <c r="C16" s="110" t="inlineStr">
        <is>
          <t>Cartes de visite Pixartprinting (commande passée 30/04)</t>
        </is>
      </c>
      <c r="D16" s="110" t="n">
        <v>50</v>
      </c>
      <c r="E16" s="110" t="inlineStr">
        <is>
          <t>Prévu</t>
        </is>
      </c>
      <c r="F16" s="110" t="inlineStr">
        <is>
          <t>Pour collecte mécénat</t>
        </is>
      </c>
    </row>
    <row r="17">
      <c r="A17" s="110" t="n"/>
      <c r="B17" s="110" t="inlineStr">
        <is>
          <t>Admin</t>
        </is>
      </c>
      <c r="C17" s="110" t="inlineStr">
        <is>
          <t>Frais postaux LRAR rescrit DDFIP + courriers partenaires</t>
        </is>
      </c>
      <c r="D17" s="110" t="n">
        <v>30</v>
      </c>
      <c r="E17" s="110" t="inlineStr">
        <is>
          <t>Prévu</t>
        </is>
      </c>
      <c r="F17" s="110" t="inlineStr">
        <is>
          <t>Recommandé +AR</t>
        </is>
      </c>
    </row>
    <row r="18">
      <c r="A18" s="103" t="n"/>
      <c r="B18" s="103" t="n"/>
      <c r="C18" s="103" t="inlineStr">
        <is>
          <t>Sous-total MAI 2026</t>
        </is>
      </c>
      <c r="D18" s="103">
        <f>SUM(D15:D17)</f>
        <v/>
      </c>
      <c r="E18" s="103" t="n"/>
      <c r="F18" s="103" t="n"/>
    </row>
    <row r="20">
      <c r="A20" s="112" t="inlineStr">
        <is>
          <t>JUIN 2026 — Dépenses prévues</t>
        </is>
      </c>
    </row>
    <row r="22">
      <c r="A22" s="109" t="inlineStr">
        <is>
          <t>Échéance</t>
        </is>
      </c>
      <c r="B22" s="109" t="inlineStr">
        <is>
          <t>Pôle</t>
        </is>
      </c>
      <c r="C22" s="109" t="inlineStr">
        <is>
          <t>Description</t>
        </is>
      </c>
      <c r="D22" s="109" t="inlineStr">
        <is>
          <t>Montant prévu</t>
        </is>
      </c>
      <c r="E22" s="109" t="inlineStr">
        <is>
          <t>Statut</t>
        </is>
      </c>
      <c r="F22" s="109" t="inlineStr">
        <is>
          <t>Note</t>
        </is>
      </c>
    </row>
    <row r="23">
      <c r="A23" s="110" t="n"/>
      <c r="B23" s="110" t="inlineStr">
        <is>
          <t>Communication</t>
        </is>
      </c>
      <c r="C23" s="110" t="inlineStr">
        <is>
          <t>1ère vague affiches + flyers (impression Pixartprinting)</t>
        </is>
      </c>
      <c r="D23" s="110" t="n">
        <v>500</v>
      </c>
      <c r="E23" s="110" t="inlineStr">
        <is>
          <t>Prévu</t>
        </is>
      </c>
      <c r="F23" s="110" t="inlineStr">
        <is>
          <t>Lancement com programmation</t>
        </is>
      </c>
    </row>
    <row r="24">
      <c r="A24" s="110" t="n"/>
      <c r="B24" s="110" t="inlineStr">
        <is>
          <t>Logistique</t>
        </is>
      </c>
      <c r="C24" s="110" t="inlineStr">
        <is>
          <t>Acompte 30% Location salle La Grange Huguenet</t>
        </is>
      </c>
      <c r="D24" s="110" t="n">
        <v>900</v>
      </c>
      <c r="E24" s="110" t="inlineStr">
        <is>
          <t>Prévu</t>
        </is>
      </c>
      <c r="F24" s="110" t="inlineStr">
        <is>
          <t>Sur 3000 € total</t>
        </is>
      </c>
    </row>
    <row r="25">
      <c r="A25" s="110" t="n"/>
      <c r="B25" s="110" t="inlineStr">
        <is>
          <t>Logistique</t>
        </is>
      </c>
      <c r="C25" s="110" t="inlineStr">
        <is>
          <t>Acompte 30% Sonorisation</t>
        </is>
      </c>
      <c r="D25" s="110" t="n">
        <v>900</v>
      </c>
      <c r="E25" s="110" t="inlineStr">
        <is>
          <t>Prévu</t>
        </is>
      </c>
      <c r="F25" s="110" t="inlineStr">
        <is>
          <t>Sur 3000 €</t>
        </is>
      </c>
    </row>
    <row r="26">
      <c r="A26" s="110" t="n"/>
      <c r="B26" s="110" t="inlineStr">
        <is>
          <t>Logistique</t>
        </is>
      </c>
      <c r="C26" s="110" t="inlineStr">
        <is>
          <t>Acompte 30% Éclairage / lumière</t>
        </is>
      </c>
      <c r="D26" s="110" t="n">
        <v>600</v>
      </c>
      <c r="E26" s="110" t="inlineStr">
        <is>
          <t>Prévu</t>
        </is>
      </c>
      <c r="F26" s="110" t="inlineStr">
        <is>
          <t>Sur 2000 €</t>
        </is>
      </c>
    </row>
    <row r="27">
      <c r="A27" s="110" t="n"/>
      <c r="B27" s="110" t="inlineStr">
        <is>
          <t>Logistique</t>
        </is>
      </c>
      <c r="C27" s="110" t="inlineStr">
        <is>
          <t>Acompte 30% Scène / podium</t>
        </is>
      </c>
      <c r="D27" s="110" t="n">
        <v>600</v>
      </c>
      <c r="E27" s="110" t="inlineStr">
        <is>
          <t>Prévu</t>
        </is>
      </c>
      <c r="F27" s="110" t="inlineStr">
        <is>
          <t>Sur 2000 €</t>
        </is>
      </c>
    </row>
    <row r="28">
      <c r="A28" s="110" t="n"/>
      <c r="B28" s="110" t="inlineStr">
        <is>
          <t>F&amp;B</t>
        </is>
      </c>
      <c r="C28" s="110" t="inlineStr">
        <is>
          <t>Commande écocups Atomic 1000 unités</t>
        </is>
      </c>
      <c r="D28" s="110" t="n">
        <v>600</v>
      </c>
      <c r="E28" s="110" t="inlineStr">
        <is>
          <t>Prévu</t>
        </is>
      </c>
      <c r="F28" s="110" t="inlineStr">
        <is>
          <t>Délai livraison ~3 semaines</t>
        </is>
      </c>
    </row>
    <row r="29">
      <c r="A29" s="110" t="n"/>
      <c r="B29" s="110" t="inlineStr">
        <is>
          <t>F&amp;B</t>
        </is>
      </c>
      <c r="C29" s="110" t="inlineStr">
        <is>
          <t>Commande jetons flousy ~5000 unités</t>
        </is>
      </c>
      <c r="D29" s="110" t="n">
        <v>400</v>
      </c>
      <c r="E29" s="110" t="inlineStr">
        <is>
          <t>Prévu</t>
        </is>
      </c>
      <c r="F29" s="110" t="inlineStr">
        <is>
          <t>Stock {1×2000, 2×1000, 5×1500, 10×500}</t>
        </is>
      </c>
    </row>
    <row r="30">
      <c r="A30" s="110" t="n"/>
      <c r="B30" s="110" t="inlineStr">
        <is>
          <t>F&amp;B</t>
        </is>
      </c>
      <c r="C30" s="110" t="inlineStr">
        <is>
          <t>Acompte 30% Machine pop-corn (location)</t>
        </is>
      </c>
      <c r="D30" s="110" t="n">
        <v>80</v>
      </c>
      <c r="E30" s="110" t="inlineStr">
        <is>
          <t>Prévu</t>
        </is>
      </c>
      <c r="F30" s="110" t="inlineStr">
        <is>
          <t>Sur 252 € total</t>
        </is>
      </c>
    </row>
    <row r="31">
      <c r="A31" s="110" t="n"/>
      <c r="B31" s="110" t="inlineStr">
        <is>
          <t>Logistique</t>
        </is>
      </c>
      <c r="C31" s="110" t="inlineStr">
        <is>
          <t>Acompte 50% Régis Régis (devis DE2026002)</t>
        </is>
      </c>
      <c r="D31" s="110" t="n">
        <v>2640</v>
      </c>
      <c r="E31" s="110" t="inlineStr">
        <is>
          <t>Prévu</t>
        </is>
      </c>
      <c r="F31" s="110" t="inlineStr">
        <is>
          <t>Sur 5 280 € TTC - dossier sécu + régie + régisseur 6j</t>
        </is>
      </c>
    </row>
    <row r="32">
      <c r="A32" s="103" t="n"/>
      <c r="B32" s="103" t="n"/>
      <c r="C32" s="103" t="inlineStr">
        <is>
          <t>Sous-total JUIN 2026</t>
        </is>
      </c>
      <c r="D32" s="103">
        <f>SUM(D23:D31)</f>
        <v/>
      </c>
      <c r="E32" s="103" t="n"/>
      <c r="F32" s="103" t="n"/>
    </row>
    <row r="34">
      <c r="A34" s="113" t="inlineStr">
        <is>
          <t>JUILLET 2026 — Dépenses prévues</t>
        </is>
      </c>
    </row>
    <row r="36">
      <c r="A36" s="109" t="inlineStr">
        <is>
          <t>Échéance</t>
        </is>
      </c>
      <c r="B36" s="109" t="inlineStr">
        <is>
          <t>Pôle</t>
        </is>
      </c>
      <c r="C36" s="109" t="inlineStr">
        <is>
          <t>Description</t>
        </is>
      </c>
      <c r="D36" s="109" t="inlineStr">
        <is>
          <t>Montant prévu</t>
        </is>
      </c>
      <c r="E36" s="109" t="inlineStr">
        <is>
          <t>Statut</t>
        </is>
      </c>
      <c r="F36" s="109" t="inlineStr">
        <is>
          <t>Note</t>
        </is>
      </c>
    </row>
    <row r="37">
      <c r="A37" s="110" t="n"/>
      <c r="B37" s="110" t="inlineStr">
        <is>
          <t>Communication</t>
        </is>
      </c>
      <c r="C37" s="110" t="inlineStr">
        <is>
          <t>2ème vague communication + vidéo promo</t>
        </is>
      </c>
      <c r="D37" s="110" t="n">
        <v>500</v>
      </c>
      <c r="E37" s="110" t="inlineStr">
        <is>
          <t>Prévu</t>
        </is>
      </c>
      <c r="F37" s="110" t="inlineStr">
        <is>
          <t>Final push avant festival</t>
        </is>
      </c>
    </row>
    <row r="38">
      <c r="A38" s="110" t="n"/>
      <c r="B38" s="110" t="inlineStr">
        <is>
          <t>Logistique</t>
        </is>
      </c>
      <c r="C38" s="110" t="inlineStr">
        <is>
          <t>Acompte 30% Toilettes / sanitaires</t>
        </is>
      </c>
      <c r="D38" s="110" t="n">
        <v>450</v>
      </c>
      <c r="E38" s="110" t="inlineStr">
        <is>
          <t>Prévu</t>
        </is>
      </c>
      <c r="F38" s="110" t="inlineStr">
        <is>
          <t>Sur 1500 €</t>
        </is>
      </c>
    </row>
    <row r="39">
      <c r="A39" s="110" t="n"/>
      <c r="B39" s="110" t="inlineStr">
        <is>
          <t>Logistique</t>
        </is>
      </c>
      <c r="C39" s="110" t="inlineStr">
        <is>
          <t>Acompte 30% Électricité / groupe électrogène</t>
        </is>
      </c>
      <c r="D39" s="110" t="n">
        <v>450</v>
      </c>
      <c r="E39" s="110" t="inlineStr">
        <is>
          <t>Prévu</t>
        </is>
      </c>
      <c r="F39" s="110" t="inlineStr">
        <is>
          <t>Sur 1500 €</t>
        </is>
      </c>
    </row>
    <row r="40">
      <c r="A40" s="110" t="n"/>
      <c r="B40" s="110" t="inlineStr">
        <is>
          <t>Logistique</t>
        </is>
      </c>
      <c r="C40" s="110" t="inlineStr">
        <is>
          <t>Acompte 30% Barrières / sécurité</t>
        </is>
      </c>
      <c r="D40" s="110" t="n">
        <v>300</v>
      </c>
      <c r="E40" s="110" t="inlineStr">
        <is>
          <t>Prévu</t>
        </is>
      </c>
      <c r="F40" s="110" t="inlineStr">
        <is>
          <t>Sur 1000 €</t>
        </is>
      </c>
    </row>
    <row r="41">
      <c r="A41" s="110" t="n"/>
      <c r="B41" s="110" t="inlineStr">
        <is>
          <t>Logistique</t>
        </is>
      </c>
      <c r="C41" s="110" t="inlineStr">
        <is>
          <t>Acompte 30% Mobilier (tables, chaises, tentes)</t>
        </is>
      </c>
      <c r="D41" s="110" t="n">
        <v>300</v>
      </c>
      <c r="E41" s="110" t="inlineStr">
        <is>
          <t>Prévu</t>
        </is>
      </c>
      <c r="F41" s="110" t="inlineStr">
        <is>
          <t>Sur 1000 €</t>
        </is>
      </c>
    </row>
    <row r="42">
      <c r="A42" s="110" t="n"/>
      <c r="B42" s="110" t="inlineStr">
        <is>
          <t>Artistes</t>
        </is>
      </c>
      <c r="C42" s="110" t="inlineStr">
        <is>
          <t>Répétitions Fabulo (4 art × 2 jours × 100 €)</t>
        </is>
      </c>
      <c r="D42" s="110" t="n">
        <v>800</v>
      </c>
      <c r="E42" s="110" t="inlineStr">
        <is>
          <t>Prévu</t>
        </is>
      </c>
      <c r="F42" s="110" t="inlineStr">
        <is>
          <t>Préparation collectif Fabulo</t>
        </is>
      </c>
    </row>
    <row r="43">
      <c r="A43" s="110" t="n"/>
      <c r="B43" s="110" t="inlineStr">
        <is>
          <t>Artistes</t>
        </is>
      </c>
      <c r="C43" s="110" t="inlineStr">
        <is>
          <t>Répétitions Atelier écriture — Sylvain (2j × 100 €)</t>
        </is>
      </c>
      <c r="D43" s="110" t="n">
        <v>200</v>
      </c>
      <c r="E43" s="110" t="inlineStr">
        <is>
          <t>Prévu</t>
        </is>
      </c>
      <c r="F43" s="110" t="inlineStr"/>
    </row>
    <row r="44">
      <c r="A44" s="110" t="n"/>
      <c r="B44" s="110" t="inlineStr">
        <is>
          <t>Artistes</t>
        </is>
      </c>
      <c r="C44" s="110" t="inlineStr">
        <is>
          <t>Répétitions Atelier DJ — Jeff (2j × 100 €)</t>
        </is>
      </c>
      <c r="D44" s="110" t="n">
        <v>200</v>
      </c>
      <c r="E44" s="110" t="inlineStr">
        <is>
          <t>Prévu</t>
        </is>
      </c>
      <c r="F44" s="110" t="inlineStr"/>
    </row>
    <row r="45">
      <c r="A45" s="110" t="n"/>
      <c r="B45" s="110" t="inlineStr">
        <is>
          <t>Artistes</t>
        </is>
      </c>
      <c r="C45" s="110" t="inlineStr">
        <is>
          <t>Avance défraiement artistes étrangers (50% billets early)</t>
        </is>
      </c>
      <c r="D45" s="110" t="n">
        <v>600</v>
      </c>
      <c r="E45" s="110" t="inlineStr">
        <is>
          <t>Prévu</t>
        </is>
      </c>
      <c r="F45" s="110" t="inlineStr">
        <is>
          <t>Pour booking train/avion avant 15/06 deadline</t>
        </is>
      </c>
    </row>
    <row r="46">
      <c r="A46" s="110" t="n"/>
      <c r="B46" s="110" t="inlineStr">
        <is>
          <t>F&amp;B</t>
        </is>
      </c>
      <c r="C46" s="110" t="inlineStr">
        <is>
          <t>Vaisselle bio jetable (gobelets, assiettes, serviettes)</t>
        </is>
      </c>
      <c r="D46" s="110" t="n">
        <v>319</v>
      </c>
      <c r="E46" s="110" t="inlineStr">
        <is>
          <t>Prévu</t>
        </is>
      </c>
      <c r="F46" s="110" t="inlineStr">
        <is>
          <t>Stock pour J-2</t>
        </is>
      </c>
    </row>
    <row r="47">
      <c r="A47" s="110" t="n"/>
      <c r="B47" s="110" t="inlineStr">
        <is>
          <t>F&amp;B</t>
        </is>
      </c>
      <c r="C47" s="110" t="inlineStr">
        <is>
          <t>HACCP (tablier, gants, sondes T°) + caisse + ustensiles préparation</t>
        </is>
      </c>
      <c r="D47" s="110" t="n">
        <v>540</v>
      </c>
      <c r="E47" s="110" t="inlineStr">
        <is>
          <t>Prévu</t>
        </is>
      </c>
      <c r="F47" s="110" t="inlineStr">
        <is>
          <t>Préparation stand</t>
        </is>
      </c>
    </row>
    <row r="48">
      <c r="A48" s="103" t="n"/>
      <c r="B48" s="103" t="n"/>
      <c r="C48" s="103" t="inlineStr">
        <is>
          <t>Sous-total JUILLET 2026</t>
        </is>
      </c>
      <c r="D48" s="103">
        <f>SUM(D37:D47)</f>
        <v/>
      </c>
      <c r="E48" s="103" t="n"/>
      <c r="F48" s="103" t="n"/>
    </row>
    <row r="50">
      <c r="A50" s="114" t="inlineStr">
        <is>
          <t>AOÛT 2026 (avant festival 28/08) — Dépenses prévues</t>
        </is>
      </c>
    </row>
    <row r="52">
      <c r="A52" s="109" t="inlineStr">
        <is>
          <t>Échéance</t>
        </is>
      </c>
      <c r="B52" s="109" t="inlineStr">
        <is>
          <t>Pôle</t>
        </is>
      </c>
      <c r="C52" s="109" t="inlineStr">
        <is>
          <t>Description</t>
        </is>
      </c>
      <c r="D52" s="109" t="inlineStr">
        <is>
          <t>Montant prévu</t>
        </is>
      </c>
      <c r="E52" s="109" t="inlineStr">
        <is>
          <t>Statut</t>
        </is>
      </c>
      <c r="F52" s="109" t="inlineStr">
        <is>
          <t>Note</t>
        </is>
      </c>
    </row>
    <row r="53">
      <c r="A53" s="110" t="n"/>
      <c r="B53" s="110" t="inlineStr">
        <is>
          <t>Logistique</t>
        </is>
      </c>
      <c r="C53" s="110" t="inlineStr">
        <is>
          <t>Solde 70% Location salle La Grange Huguenet</t>
        </is>
      </c>
      <c r="D53" s="110" t="n">
        <v>2100</v>
      </c>
      <c r="E53" s="110" t="inlineStr">
        <is>
          <t>Prévu</t>
        </is>
      </c>
      <c r="F53" s="110" t="inlineStr">
        <is>
          <t>Au montage</t>
        </is>
      </c>
    </row>
    <row r="54">
      <c r="A54" s="110" t="n"/>
      <c r="B54" s="110" t="inlineStr">
        <is>
          <t>Logistique</t>
        </is>
      </c>
      <c r="C54" s="110" t="inlineStr">
        <is>
          <t>Solde 70% Sonorisation</t>
        </is>
      </c>
      <c r="D54" s="110" t="n">
        <v>2100</v>
      </c>
      <c r="E54" s="110" t="inlineStr">
        <is>
          <t>Prévu</t>
        </is>
      </c>
      <c r="F54" s="110" t="inlineStr">
        <is>
          <t>Au montage J-2</t>
        </is>
      </c>
    </row>
    <row r="55">
      <c r="A55" s="110" t="n"/>
      <c r="B55" s="110" t="inlineStr">
        <is>
          <t>Logistique</t>
        </is>
      </c>
      <c r="C55" s="110" t="inlineStr">
        <is>
          <t>Solde 70% Éclairage / lumière</t>
        </is>
      </c>
      <c r="D55" s="110" t="n">
        <v>1400</v>
      </c>
      <c r="E55" s="110" t="inlineStr">
        <is>
          <t>Prévu</t>
        </is>
      </c>
      <c r="F55" s="110" t="inlineStr">
        <is>
          <t>Au montage J-2</t>
        </is>
      </c>
    </row>
    <row r="56">
      <c r="A56" s="110" t="n"/>
      <c r="B56" s="110" t="inlineStr">
        <is>
          <t>Logistique</t>
        </is>
      </c>
      <c r="C56" s="110" t="inlineStr">
        <is>
          <t>Solde 70% Scène / podium</t>
        </is>
      </c>
      <c r="D56" s="110" t="n">
        <v>1400</v>
      </c>
      <c r="E56" s="110" t="inlineStr">
        <is>
          <t>Prévu</t>
        </is>
      </c>
      <c r="F56" s="110" t="inlineStr">
        <is>
          <t>Au montage J-2</t>
        </is>
      </c>
    </row>
    <row r="57">
      <c r="A57" s="110" t="n"/>
      <c r="B57" s="110" t="inlineStr">
        <is>
          <t>Logistique</t>
        </is>
      </c>
      <c r="C57" s="110" t="inlineStr">
        <is>
          <t>Solde 70% Toilettes / sanitaires</t>
        </is>
      </c>
      <c r="D57" s="110" t="n">
        <v>1050</v>
      </c>
      <c r="E57" s="110" t="inlineStr">
        <is>
          <t>Prévu</t>
        </is>
      </c>
      <c r="F57" s="110" t="inlineStr">
        <is>
          <t>Au montage J-1</t>
        </is>
      </c>
    </row>
    <row r="58">
      <c r="A58" s="110" t="n"/>
      <c r="B58" s="110" t="inlineStr">
        <is>
          <t>Logistique</t>
        </is>
      </c>
      <c r="C58" s="110" t="inlineStr">
        <is>
          <t>Solde 70% Électricité / groupe électrogène</t>
        </is>
      </c>
      <c r="D58" s="110" t="n">
        <v>1050</v>
      </c>
      <c r="E58" s="110" t="inlineStr">
        <is>
          <t>Prévu</t>
        </is>
      </c>
      <c r="F58" s="110" t="inlineStr">
        <is>
          <t>Au montage J-2</t>
        </is>
      </c>
    </row>
    <row r="59">
      <c r="A59" s="110" t="n"/>
      <c r="B59" s="110" t="inlineStr">
        <is>
          <t>Logistique</t>
        </is>
      </c>
      <c r="C59" s="110" t="inlineStr">
        <is>
          <t>Solde 70% Barrières / sécurité</t>
        </is>
      </c>
      <c r="D59" s="110" t="n">
        <v>700</v>
      </c>
      <c r="E59" s="110" t="inlineStr">
        <is>
          <t>Prévu</t>
        </is>
      </c>
      <c r="F59" s="110" t="inlineStr">
        <is>
          <t>Au montage J-2</t>
        </is>
      </c>
    </row>
    <row r="60">
      <c r="A60" s="110" t="n"/>
      <c r="B60" s="110" t="inlineStr">
        <is>
          <t>Logistique</t>
        </is>
      </c>
      <c r="C60" s="110" t="inlineStr">
        <is>
          <t>Solde 70% Mobilier (tables, chaises, tentes)</t>
        </is>
      </c>
      <c r="D60" s="110" t="n">
        <v>700</v>
      </c>
      <c r="E60" s="110" t="inlineStr">
        <is>
          <t>Prévu</t>
        </is>
      </c>
      <c r="F60" s="110" t="inlineStr">
        <is>
          <t>Au montage J-1</t>
        </is>
      </c>
    </row>
    <row r="61">
      <c r="A61" s="110" t="n"/>
      <c r="B61" s="110" t="inlineStr">
        <is>
          <t>F&amp;B</t>
        </is>
      </c>
      <c r="C61" s="110" t="inlineStr">
        <is>
          <t>Solde Machine pop-corn (location)</t>
        </is>
      </c>
      <c r="D61" s="110" t="n">
        <v>172</v>
      </c>
      <c r="E61" s="110" t="inlineStr">
        <is>
          <t>Prévu</t>
        </is>
      </c>
      <c r="F61" s="110" t="inlineStr">
        <is>
          <t>Au montage</t>
        </is>
      </c>
    </row>
    <row r="62">
      <c r="A62" s="110" t="n"/>
      <c r="B62" s="110" t="inlineStr">
        <is>
          <t>F&amp;B</t>
        </is>
      </c>
      <c r="C62" s="110" t="inlineStr">
        <is>
          <t>Percolateurs 4×10L ABC LOCATION</t>
        </is>
      </c>
      <c r="D62" s="110" t="n">
        <v>345</v>
      </c>
      <c r="E62" s="110" t="inlineStr">
        <is>
          <t>Prévu</t>
        </is>
      </c>
      <c r="F62" s="110" t="inlineStr">
        <is>
          <t>Réservation + livraison J-1</t>
        </is>
      </c>
    </row>
    <row r="63">
      <c r="A63" s="110" t="n"/>
      <c r="B63" s="110" t="inlineStr">
        <is>
          <t>F&amp;B</t>
        </is>
      </c>
      <c r="C63" s="110" t="inlineStr">
        <is>
          <t>Friteuses ×2 ABC LOCATION</t>
        </is>
      </c>
      <c r="D63" s="110" t="n">
        <v>172</v>
      </c>
      <c r="E63" s="110" t="inlineStr">
        <is>
          <t>Prévu</t>
        </is>
      </c>
      <c r="F63" s="110" t="inlineStr">
        <is>
          <t>Réservation + livraison J-1</t>
        </is>
      </c>
    </row>
    <row r="64">
      <c r="A64" s="110" t="n"/>
      <c r="B64" s="110" t="inlineStr">
        <is>
          <t>F&amp;B</t>
        </is>
      </c>
      <c r="C64" s="110" t="inlineStr">
        <is>
          <t>Eau gratuite — fontaines + carafes</t>
        </is>
      </c>
      <c r="D64" s="110" t="n">
        <v>400</v>
      </c>
      <c r="E64" s="110" t="inlineStr">
        <is>
          <t>Prévu</t>
        </is>
      </c>
      <c r="F64" s="110" t="inlineStr">
        <is>
          <t>Location J-1</t>
        </is>
      </c>
    </row>
    <row r="65">
      <c r="A65" s="110" t="n"/>
      <c r="B65" s="110" t="inlineStr">
        <is>
          <t>F&amp;B</t>
        </is>
      </c>
      <c r="C65" s="110" t="inlineStr">
        <is>
          <t>Trousse premiers secours buvette + affichage</t>
        </is>
      </c>
      <c r="D65" s="110" t="n">
        <v>60</v>
      </c>
      <c r="E65" s="110" t="inlineStr">
        <is>
          <t>Prévu</t>
        </is>
      </c>
      <c r="F65" s="110" t="inlineStr">
        <is>
          <t>Préparation stand</t>
        </is>
      </c>
    </row>
    <row r="66">
      <c r="A66" s="110" t="n"/>
      <c r="B66" s="110" t="inlineStr">
        <is>
          <t>F&amp;B</t>
        </is>
      </c>
      <c r="C66" s="110" t="inlineStr">
        <is>
          <t>Sacs poubelles tri + lavage écocups + récup huile</t>
        </is>
      </c>
      <c r="D66" s="110" t="n">
        <v>120</v>
      </c>
      <c r="E66" s="110" t="inlineStr">
        <is>
          <t>Prévu</t>
        </is>
      </c>
      <c r="F66" s="110" t="inlineStr">
        <is>
          <t>Stand + préparation</t>
        </is>
      </c>
    </row>
    <row r="67">
      <c r="A67" s="110" t="n"/>
      <c r="B67" s="110" t="inlineStr">
        <is>
          <t>F&amp;B</t>
        </is>
      </c>
      <c r="C67" s="110" t="inlineStr">
        <is>
          <t>Bière Le Pintadier — 10 fûts initial</t>
        </is>
      </c>
      <c r="D67" s="110" t="n">
        <v>800</v>
      </c>
      <c r="E67" s="110" t="inlineStr">
        <is>
          <t>Prévu</t>
        </is>
      </c>
      <c r="F67" s="110" t="inlineStr">
        <is>
          <t>Commande J-3, livraison J-1</t>
        </is>
      </c>
    </row>
    <row r="68">
      <c r="A68" s="110" t="n"/>
      <c r="B68" s="110" t="inlineStr">
        <is>
          <t>F&amp;B</t>
        </is>
      </c>
      <c r="C68" s="110" t="inlineStr">
        <is>
          <t>Vin Cubi Jura — 29 cubis (Hyper Boisson)</t>
        </is>
      </c>
      <c r="D68" s="110" t="n">
        <v>1450</v>
      </c>
      <c r="E68" s="110" t="inlineStr">
        <is>
          <t>Prévu</t>
        </is>
      </c>
      <c r="F68" s="110" t="inlineStr">
        <is>
          <t>Commande J-7</t>
        </is>
      </c>
    </row>
    <row r="69">
      <c r="A69" s="110" t="n"/>
      <c r="B69" s="110" t="inlineStr">
        <is>
          <t>F&amp;B</t>
        </is>
      </c>
      <c r="C69" s="110" t="inlineStr">
        <is>
          <t>Soft (sirop + jus + Mortuacienne + eaux 1L verre)</t>
        </is>
      </c>
      <c r="D69" s="110" t="n">
        <v>775</v>
      </c>
      <c r="E69" s="110" t="inlineStr">
        <is>
          <t>Prévu</t>
        </is>
      </c>
      <c r="F69" s="110" t="inlineStr">
        <is>
          <t>Commande J-7</t>
        </is>
      </c>
    </row>
    <row r="70">
      <c r="A70" s="110" t="n"/>
      <c r="B70" s="110" t="inlineStr">
        <is>
          <t>F&amp;B</t>
        </is>
      </c>
      <c r="C70" s="110" t="inlineStr">
        <is>
          <t>Café moulu équitable BFC + sucre + lait + mélangeurs + gobelets</t>
        </is>
      </c>
      <c r="D70" s="110" t="n">
        <v>110</v>
      </c>
      <c r="E70" s="110" t="inlineStr">
        <is>
          <t>Prévu</t>
        </is>
      </c>
      <c r="F70" s="110" t="inlineStr">
        <is>
          <t>Commande J-7</t>
        </is>
      </c>
    </row>
    <row r="71">
      <c r="A71" s="110" t="n"/>
      <c r="B71" s="110" t="inlineStr">
        <is>
          <t>F&amp;B</t>
        </is>
      </c>
      <c r="C71" s="110" t="inlineStr">
        <is>
          <t>Sucre bar additionnel + glace pilée</t>
        </is>
      </c>
      <c r="D71" s="110" t="n">
        <v>60</v>
      </c>
      <c r="E71" s="110" t="inlineStr">
        <is>
          <t>Prévu</t>
        </is>
      </c>
      <c r="F71" s="110" t="inlineStr">
        <is>
          <t>Achat J-1</t>
        </is>
      </c>
    </row>
    <row r="72">
      <c r="A72" s="110" t="n"/>
      <c r="B72" s="110" t="inlineStr">
        <is>
          <t>F&amp;B</t>
        </is>
      </c>
      <c r="C72" s="110" t="inlineStr">
        <is>
          <t>Assiettes : fromage Hôpitaux Vieux + Comté/Morbier (~70 kg)</t>
        </is>
      </c>
      <c r="D72" s="110" t="n">
        <v>1100</v>
      </c>
      <c r="E72" s="110" t="inlineStr">
        <is>
          <t>Prévu</t>
        </is>
      </c>
      <c r="F72" s="110" t="inlineStr">
        <is>
          <t>Commande J-3, livraison J-2</t>
        </is>
      </c>
    </row>
    <row r="73">
      <c r="A73" s="110" t="n"/>
      <c r="B73" s="110" t="inlineStr">
        <is>
          <t>F&amp;B</t>
        </is>
      </c>
      <c r="C73" s="110" t="inlineStr">
        <is>
          <t>Assiettes : charcuterie Ferme Ligny (~77 kg)</t>
        </is>
      </c>
      <c r="D73" s="110" t="n">
        <v>1200</v>
      </c>
      <c r="E73" s="110" t="inlineStr">
        <is>
          <t>Prévu</t>
        </is>
      </c>
      <c r="F73" s="110" t="inlineStr">
        <is>
          <t>Commande J-3, livraison J-2</t>
        </is>
      </c>
    </row>
    <row r="74">
      <c r="A74" s="110" t="n"/>
      <c r="B74" s="110" t="inlineStr">
        <is>
          <t>F&amp;B</t>
        </is>
      </c>
      <c r="C74" s="110" t="inlineStr">
        <is>
          <t>Œufs Saveur de la Ferme (3 plateaux 360 + extras)</t>
        </is>
      </c>
      <c r="D74" s="110" t="n">
        <v>200</v>
      </c>
      <c r="E74" s="110" t="inlineStr">
        <is>
          <t>Prévu</t>
        </is>
      </c>
      <c r="F74" s="110" t="inlineStr">
        <is>
          <t>Commande J-3, livraison J-2</t>
        </is>
      </c>
    </row>
    <row r="75">
      <c r="A75" s="110" t="n"/>
      <c r="B75" s="110" t="inlineStr">
        <is>
          <t>F&amp;B</t>
        </is>
      </c>
      <c r="C75" s="110" t="inlineStr">
        <is>
          <t>Pain La Ronde des Pains (~110 pains 350g)</t>
        </is>
      </c>
      <c r="D75" s="110" t="n">
        <v>245</v>
      </c>
      <c r="E75" s="110" t="inlineStr">
        <is>
          <t>Prévu</t>
        </is>
      </c>
      <c r="F75" s="110" t="inlineStr">
        <is>
          <t>Commande J-3, livraison J-1</t>
        </is>
      </c>
    </row>
    <row r="76">
      <c r="A76" s="110" t="n"/>
      <c r="B76" s="110" t="inlineStr">
        <is>
          <t>F&amp;B</t>
        </is>
      </c>
      <c r="C76" s="110" t="inlineStr">
        <is>
          <t>Tomates cerise BRUNO BFC (~75 kg, restauration + snack)</t>
        </is>
      </c>
      <c r="D76" s="110" t="n">
        <v>90</v>
      </c>
      <c r="E76" s="110" t="inlineStr">
        <is>
          <t>Prévu</t>
        </is>
      </c>
      <c r="F76" s="110" t="inlineStr">
        <is>
          <t>Commande J-3, livraison J-2</t>
        </is>
      </c>
    </row>
    <row r="77">
      <c r="A77" s="110" t="n"/>
      <c r="B77" s="110" t="inlineStr">
        <is>
          <t>F&amp;B</t>
        </is>
      </c>
      <c r="C77" s="110" t="inlineStr">
        <is>
          <t>Pommes de terre BFC (~50 kg pour frites snack + grandes assiettes)</t>
        </is>
      </c>
      <c r="D77" s="110" t="n">
        <v>60</v>
      </c>
      <c r="E77" s="110" t="inlineStr">
        <is>
          <t>Prévu</t>
        </is>
      </c>
      <c r="F77" s="110" t="inlineStr">
        <is>
          <t>Commande J-3, livraison J-2</t>
        </is>
      </c>
    </row>
    <row r="78">
      <c r="A78" s="110" t="n"/>
      <c r="B78" s="110" t="inlineStr">
        <is>
          <t>F&amp;B</t>
        </is>
      </c>
      <c r="C78" s="110" t="inlineStr">
        <is>
          <t>Sachets sous vide Ferme Ligny + autres consommables resto</t>
        </is>
      </c>
      <c r="D78" s="110" t="n">
        <v>50</v>
      </c>
      <c r="E78" s="110" t="inlineStr">
        <is>
          <t>Prévu</t>
        </is>
      </c>
      <c r="F78" s="110" t="inlineStr">
        <is>
          <t>Avec commande charcuterie</t>
        </is>
      </c>
    </row>
    <row r="79">
      <c r="A79" s="110" t="n"/>
      <c r="B79" s="110" t="inlineStr">
        <is>
          <t>F&amp;B</t>
        </is>
      </c>
      <c r="C79" s="110" t="inlineStr">
        <is>
          <t>Pop-corn (maïs 10kg + huile + sel + gobelets bio 72cL)</t>
        </is>
      </c>
      <c r="D79" s="110" t="n">
        <v>63</v>
      </c>
      <c r="E79" s="110" t="inlineStr">
        <is>
          <t>Prévu</t>
        </is>
      </c>
      <c r="F79" s="110" t="inlineStr">
        <is>
          <t>Commande J-7</t>
        </is>
      </c>
    </row>
    <row r="80">
      <c r="A80" s="110" t="n"/>
      <c r="B80" s="110" t="inlineStr">
        <is>
          <t>F&amp;B</t>
        </is>
      </c>
      <c r="C80" s="110" t="inlineStr">
        <is>
          <t>Frites snack (huile friture + sel + barquettes kraft + sticks sauces)</t>
        </is>
      </c>
      <c r="D80" s="110" t="n">
        <v>88</v>
      </c>
      <c r="E80" s="110" t="inlineStr">
        <is>
          <t>Prévu</t>
        </is>
      </c>
      <c r="F80" s="110" t="inlineStr">
        <is>
          <t>Commande J-7 (pdt comptées séparément)</t>
        </is>
      </c>
    </row>
    <row r="81">
      <c r="A81" s="110" t="n"/>
      <c r="B81" s="110" t="inlineStr">
        <is>
          <t>F&amp;B</t>
        </is>
      </c>
      <c r="C81" s="110" t="inlineStr">
        <is>
          <t>Glaces ERHARD (43 bacs 2,5L)</t>
        </is>
      </c>
      <c r="D81" s="110" t="n">
        <v>101</v>
      </c>
      <c r="E81" s="110" t="inlineStr">
        <is>
          <t>Prévu</t>
        </is>
      </c>
      <c r="F81" s="110" t="inlineStr">
        <is>
          <t>Commande J-3, livraison J-1</t>
        </is>
      </c>
    </row>
    <row r="82">
      <c r="A82" s="110" t="n"/>
      <c r="B82" s="110" t="inlineStr">
        <is>
          <t>F&amp;B</t>
        </is>
      </c>
      <c r="C82" s="110" t="inlineStr">
        <is>
          <t>Cornets gaufrette comestibles (560 unités) + back-up</t>
        </is>
      </c>
      <c r="D82" s="110" t="n">
        <v>70</v>
      </c>
      <c r="E82" s="110" t="inlineStr">
        <is>
          <t>Prévu</t>
        </is>
      </c>
      <c r="F82" s="110" t="inlineStr">
        <is>
          <t>Commande J-7</t>
        </is>
      </c>
    </row>
    <row r="83">
      <c r="A83" s="110" t="n"/>
      <c r="B83" s="110" t="inlineStr">
        <is>
          <t>Artistes</t>
        </is>
      </c>
      <c r="C83" s="110" t="inlineStr">
        <is>
          <t>Défraiement étrangers solde (sur réception justificatifs)</t>
        </is>
      </c>
      <c r="D83" s="110" t="n">
        <v>1200</v>
      </c>
      <c r="E83" s="110" t="inlineStr">
        <is>
          <t>Prévu</t>
        </is>
      </c>
      <c r="F83" s="110" t="inlineStr">
        <is>
          <t>Solde après réception tickets, payable J ou J+7</t>
        </is>
      </c>
    </row>
    <row r="84">
      <c r="A84" s="110" t="n"/>
      <c r="B84" s="110" t="inlineStr">
        <is>
          <t>Logistique</t>
        </is>
      </c>
      <c r="C84" s="110" t="inlineStr">
        <is>
          <t>Solde 50% Régis Régis (devis DE2026002)</t>
        </is>
      </c>
      <c r="D84" s="110" t="n">
        <v>2640</v>
      </c>
      <c r="E84" s="110" t="inlineStr">
        <is>
          <t>Prévu</t>
        </is>
      </c>
      <c r="F84" s="110" t="inlineStr">
        <is>
          <t>À l'issue de la prestation - démontage 31/08</t>
        </is>
      </c>
    </row>
    <row r="85">
      <c r="A85" s="110" t="n"/>
      <c r="B85" s="110" t="inlineStr">
        <is>
          <t>Admin</t>
        </is>
      </c>
      <c r="C85" s="110" t="inlineStr">
        <is>
          <t>Frais administratifs divers (encres, fournitures bureau)</t>
        </is>
      </c>
      <c r="D85" s="110" t="n">
        <v>100</v>
      </c>
      <c r="E85" s="110" t="inlineStr">
        <is>
          <t>Prévu</t>
        </is>
      </c>
      <c r="F85" s="110" t="inlineStr">
        <is>
          <t>Préparation festival</t>
        </is>
      </c>
    </row>
    <row r="86">
      <c r="A86" s="110" t="n"/>
      <c r="B86" s="110" t="inlineStr">
        <is>
          <t>Admin</t>
        </is>
      </c>
      <c r="C86" s="110" t="inlineStr">
        <is>
          <t>Imprévus de dernière minute (provision)</t>
        </is>
      </c>
      <c r="D86" s="110" t="n">
        <v>500</v>
      </c>
      <c r="E86" s="110" t="inlineStr">
        <is>
          <t>Prévu</t>
        </is>
      </c>
      <c r="F86" s="110" t="inlineStr">
        <is>
          <t>Aléas</t>
        </is>
      </c>
    </row>
    <row r="87">
      <c r="A87" s="103" t="n"/>
      <c r="B87" s="103" t="n"/>
      <c r="C87" s="103" t="inlineStr">
        <is>
          <t>Sous-total AOÛT 2026 (avant festival 28/08)</t>
        </is>
      </c>
      <c r="D87" s="103">
        <f>SUM(D53:D86)</f>
        <v/>
      </c>
      <c r="E87" s="103" t="n"/>
      <c r="F87" s="103" t="n"/>
    </row>
    <row r="89">
      <c r="A89" s="115" t="inlineStr">
        <is>
          <t>TOTAL DÉPENSES PRÉ-FESTIVAL (mai-août avant 28/08)</t>
        </is>
      </c>
      <c r="B89" s="116" t="n"/>
      <c r="C89" s="116" t="n"/>
      <c r="D89" s="117" t="n">
        <v>35430</v>
      </c>
      <c r="E89" s="116" t="n"/>
      <c r="F89" s="116" t="n"/>
    </row>
    <row r="91">
      <c r="A91" s="118" t="inlineStr">
        <is>
          <t>NOTES &amp; HYPOTHÈSES</t>
        </is>
      </c>
    </row>
    <row r="92" ht="18" customHeight="1" s="39">
      <c r="A92" s="105" t="inlineStr">
        <is>
          <t>• Solde Qonto au 03/05/2026 : 1950 € — Besoin de trésorerie cumulé jusqu'au 27/08 : 35430 €</t>
        </is>
      </c>
    </row>
    <row r="93" ht="18" customHeight="1" s="39">
      <c r="A93" s="105" t="inlineStr">
        <is>
          <t>• Gap à financer : 33480 € via crowdfunding + mécénat + subventions + early bird billetterie</t>
        </is>
      </c>
    </row>
    <row r="94" ht="18" customHeight="1" s="39">
      <c r="A94" s="105" t="inlineStr">
        <is>
          <t>• Hypothèses fournisseurs : acompte 30% à la commande / solde 70% au montage (à confirmer avec chaque devis)</t>
        </is>
      </c>
    </row>
    <row r="95" ht="18" customHeight="1" s="39">
      <c r="A95" s="105" t="inlineStr">
        <is>
          <t>• Cachets artistes : 30% acompte signature contrat, 50% post-prestation J+7 (à confirmer convention)</t>
        </is>
      </c>
    </row>
    <row r="96" ht="18" customHeight="1" s="39">
      <c r="A96" s="105" t="inlineStr">
        <is>
          <t>• Défraiement étrangers : avance possible 50% pour booking précoce, solde sur justificatifs</t>
        </is>
      </c>
    </row>
    <row r="97" ht="18" customHeight="1" s="39">
      <c r="A97" s="105" t="inlineStr">
        <is>
          <t>• Matières fraîches F&amp;B : commandées J-3 (hors période 'pré-festival' stricte mais cash sortant avant recettes billetterie)</t>
        </is>
      </c>
    </row>
    <row r="98" ht="18" customHeight="1" s="39">
      <c r="A98" s="105" t="inlineStr">
        <is>
          <t>• SACEM Billetterie 1 993 € : payée septembre 2026 (post-festival, sur recettes réelles)</t>
        </is>
      </c>
    </row>
    <row r="99" ht="18" customHeight="1" s="39">
      <c r="A99" s="105" t="inlineStr">
        <is>
          <t>• SACEM Buvette 1 427 € : exclue (à confirmer non due)</t>
        </is>
      </c>
    </row>
    <row r="100" ht="18" customHeight="1" s="39">
      <c r="A100" s="105" t="inlineStr">
        <is>
          <t>• Repas artistes 555 € : à imputer budget Artistes (non doublonné ici)</t>
        </is>
      </c>
    </row>
    <row r="102">
      <c r="A102" s="119" t="inlineStr">
        <is>
          <t>POUR INFO — Dépenses POST-festival (non comptées ci-dessus)</t>
        </is>
      </c>
    </row>
    <row r="103">
      <c r="A103" s="120" t="n"/>
      <c r="B103" s="120" t="inlineStr">
        <is>
          <t>Artistes</t>
        </is>
      </c>
      <c r="C103" s="120" t="inlineStr">
        <is>
          <t>Cachets artistes (TOUS payés post-festival, J+7)</t>
        </is>
      </c>
      <c r="D103" s="120" t="n">
        <v>15700</v>
      </c>
      <c r="E103" s="120" t="n"/>
      <c r="F103" s="120" t="inlineStr">
        <is>
          <t>Septembre 2026 — décision Charles 03/05/2026</t>
        </is>
      </c>
    </row>
    <row r="104">
      <c r="A104" s="120" t="n"/>
      <c r="B104" s="120" t="inlineStr">
        <is>
          <t>Artistes</t>
        </is>
      </c>
      <c r="C104" s="120" t="inlineStr">
        <is>
          <t>Défraiement artistes (étrangers - solde, locaux/régionaux)</t>
        </is>
      </c>
      <c r="D104" s="120" t="n">
        <v>4800</v>
      </c>
      <c r="E104" s="120" t="n"/>
      <c r="F104" s="120" t="inlineStr">
        <is>
          <t>Septembre 2026 — sur justificatifs</t>
        </is>
      </c>
    </row>
    <row r="105">
      <c r="A105" s="120" t="n"/>
      <c r="B105" s="120" t="inlineStr">
        <is>
          <t>Admin</t>
        </is>
      </c>
      <c r="C105" s="120" t="inlineStr">
        <is>
          <t>SACEM Billetterie 8.8% (déclaration post-event)</t>
        </is>
      </c>
      <c r="D105" s="120" t="n">
        <v>1993</v>
      </c>
      <c r="E105" s="120" t="n"/>
      <c r="F105" s="120" t="inlineStr">
        <is>
          <t>Septembre 2026 — sur recettes billetterie réelles</t>
        </is>
      </c>
    </row>
  </sheetData>
  <mergeCells count="17">
    <mergeCell ref="A92:F92"/>
    <mergeCell ref="A99:F99"/>
    <mergeCell ref="A98:F98"/>
    <mergeCell ref="A93:F93"/>
    <mergeCell ref="A102:F102"/>
    <mergeCell ref="A1:F1"/>
    <mergeCell ref="A89:C89"/>
    <mergeCell ref="A94:F94"/>
    <mergeCell ref="A97:F97"/>
    <mergeCell ref="A34:F34"/>
    <mergeCell ref="A12:F12"/>
    <mergeCell ref="A50:F50"/>
    <mergeCell ref="A100:F100"/>
    <mergeCell ref="A3:F3"/>
    <mergeCell ref="A96:F96"/>
    <mergeCell ref="A20:F20"/>
    <mergeCell ref="A95:F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2026-04-04T15:53:24Z</dcterms:created>
  <dcterms:modified xmlns:dcterms="http://purl.org/dc/terms/" xmlns:xsi="http://www.w3.org/2001/XMLSchema-instance" xsi:type="dcterms:W3CDTF">2026-05-04T06:36:02Z</dcterms:modified>
  <cp:lastModifiedBy>Charles JANIER DUBRY</cp:lastModifiedBy>
</cp:coreProperties>
</file>