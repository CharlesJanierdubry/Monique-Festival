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40" yWindow="-19260" windowWidth="31095" windowHeight="18360" tabRatio="600" firstSheet="0" activeTab="5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Crowdfunding" sheetId="2" state="visible" r:id="rId2"/>
    <sheet xmlns:r="http://schemas.openxmlformats.org/officeDocument/2006/relationships" name="Billetterie" sheetId="3" state="visible" r:id="rId3"/>
    <sheet xmlns:r="http://schemas.openxmlformats.org/officeDocument/2006/relationships" name="F&amp;B" sheetId="4" state="visible" r:id="rId4"/>
    <sheet xmlns:r="http://schemas.openxmlformats.org/officeDocument/2006/relationships" name="Ateliers" sheetId="5" state="visible" r:id="rId5"/>
    <sheet xmlns:r="http://schemas.openxmlformats.org/officeDocument/2006/relationships" name="Artistes" sheetId="6" state="visible" r:id="rId6"/>
    <sheet xmlns:r="http://schemas.openxmlformats.org/officeDocument/2006/relationships" name="Logistique" sheetId="7" state="visible" r:id="rId7"/>
    <sheet xmlns:r="http://schemas.openxmlformats.org/officeDocument/2006/relationships" name="Frais divers" sheetId="8" state="visible" r:id="rId8"/>
    <sheet xmlns:r="http://schemas.openxmlformats.org/officeDocument/2006/relationships" name="Trésoreri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\€"/>
  </numFmts>
  <fonts count="15">
    <font>
      <name val="Calibri"/>
      <family val="2"/>
      <color theme="1"/>
      <sz val="11"/>
      <scheme val="minor"/>
    </font>
    <font>
      <name val="Calibri"/>
      <b val="1"/>
      <color rgb="FF2F5496"/>
      <sz val="12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b val="1"/>
    </font>
    <font>
      <b val="1"/>
      <color rgb="001F4E78"/>
      <sz val="12"/>
    </font>
    <font>
      <b val="1"/>
      <sz val="14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b val="1"/>
      <sz val="11"/>
    </font>
    <font>
      <i val="1"/>
      <sz val="9"/>
    </font>
  </fonts>
  <fills count="1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2E7D32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6A1B9A"/>
      </patternFill>
    </fill>
    <fill>
      <patternFill patternType="solid">
        <fgColor rgb="00EF6C00"/>
      </patternFill>
    </fill>
    <fill>
      <patternFill patternType="solid">
        <fgColor rgb="00C62828"/>
      </patternFill>
    </fill>
    <fill>
      <patternFill patternType="solid">
        <fgColor rgb="000277B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5" borderId="1" pivotButton="0" quotePrefix="0" xfId="0"/>
    <xf numFmtId="0" fontId="3" fillId="0" borderId="1" pivotButton="0" quotePrefix="0" xfId="0"/>
    <xf numFmtId="164" fontId="3" fillId="0" borderId="1" pivotButton="0" quotePrefix="0" xfId="0"/>
    <xf numFmtId="164" fontId="3" fillId="4" borderId="1" pivotButton="0" quotePrefix="0" xfId="0"/>
    <xf numFmtId="164" fontId="4" fillId="4" borderId="1" pivotButton="0" quotePrefix="0" xfId="0"/>
    <xf numFmtId="14" fontId="0" fillId="0" borderId="1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3" borderId="1" pivotButton="0" quotePrefix="0" xfId="0"/>
    <xf numFmtId="164" fontId="6" fillId="3" borderId="1" pivotButton="0" quotePrefix="0" xfId="0"/>
    <xf numFmtId="0" fontId="0" fillId="0" borderId="2" pivotButton="0" quotePrefix="0" xfId="0"/>
    <xf numFmtId="0" fontId="7" fillId="6" borderId="2" pivotButton="0" quotePrefix="0" xfId="0"/>
    <xf numFmtId="0" fontId="8" fillId="0" borderId="0" pivotButton="0" quotePrefix="0" xfId="0"/>
    <xf numFmtId="0" fontId="9" fillId="7" borderId="0" pivotButton="0" quotePrefix="0" xfId="0"/>
    <xf numFmtId="0" fontId="10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/>
    </xf>
    <xf numFmtId="0" fontId="12" fillId="10" borderId="3" applyAlignment="1" pivotButton="0" quotePrefix="0" xfId="0">
      <alignment horizontal="center"/>
    </xf>
    <xf numFmtId="0" fontId="0" fillId="0" borderId="3" pivotButton="0" quotePrefix="0" xfId="0"/>
    <xf numFmtId="0" fontId="13" fillId="11" borderId="3" pivotButton="0" quotePrefix="0" xfId="0"/>
    <xf numFmtId="0" fontId="11" fillId="12" borderId="0" applyAlignment="1" pivotButton="0" quotePrefix="0" xfId="0">
      <alignment horizontal="center"/>
    </xf>
    <xf numFmtId="0" fontId="11" fillId="13" borderId="0" applyAlignment="1" pivotButton="0" quotePrefix="0" xfId="0">
      <alignment horizontal="center"/>
    </xf>
    <xf numFmtId="0" fontId="11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/>
    </xf>
    <xf numFmtId="0" fontId="11" fillId="15" borderId="3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E5" sqref="E5"/>
    </sheetView>
  </sheetViews>
  <sheetFormatPr baseColWidth="10" defaultColWidth="8.88671875" defaultRowHeight="14.4"/>
  <cols>
    <col width="35" customWidth="1" style="18" min="1" max="1"/>
    <col width="23" customWidth="1" style="18" min="2" max="3"/>
    <col width="18" customWidth="1" style="18" min="4" max="4"/>
    <col width="30" customWidth="1" style="18" min="5" max="6"/>
    <col width="18" customWidth="1" style="18" min="7" max="7"/>
    <col width="16" customWidth="1" style="18" min="8" max="10"/>
  </cols>
  <sheetData>
    <row r="1" ht="15.6" customHeight="1" s="18">
      <c r="A1" s="17" t="inlineStr">
        <is>
          <t>SYNTHÈSE BUDGÉTAIRE — Monique Festival</t>
        </is>
      </c>
    </row>
    <row r="3">
      <c r="A3" s="1" t="inlineStr">
        <is>
          <t>Catégorie</t>
        </is>
      </c>
      <c r="B3" s="1" t="inlineStr">
        <is>
          <t>Recettes prévues</t>
        </is>
      </c>
      <c r="C3" s="1" t="inlineStr">
        <is>
          <t>Recettes réelles</t>
        </is>
      </c>
      <c r="D3" s="1" t="inlineStr">
        <is>
          <t>Écart recettes</t>
        </is>
      </c>
      <c r="E3" s="1" t="inlineStr">
        <is>
          <t>Dépenses prévues</t>
        </is>
      </c>
      <c r="F3" s="1" t="inlineStr">
        <is>
          <t>Dépenses réelles</t>
        </is>
      </c>
      <c r="G3" s="1" t="inlineStr">
        <is>
          <t>Écart dépenses</t>
        </is>
      </c>
      <c r="H3" s="1" t="inlineStr">
        <is>
          <t>Marge prévue</t>
        </is>
      </c>
      <c r="I3" s="1" t="inlineStr">
        <is>
          <t>Marge réelle</t>
        </is>
      </c>
      <c r="J3" s="1" t="inlineStr">
        <is>
          <t>Écart marge</t>
        </is>
      </c>
    </row>
    <row r="4">
      <c r="A4" s="2" t="inlineStr">
        <is>
          <t>Crowdfunding</t>
        </is>
      </c>
      <c r="B4" s="3">
        <f>Crowdfunding!C16</f>
        <v/>
      </c>
      <c r="C4" s="3">
        <f>Crowdfunding!D16</f>
        <v/>
      </c>
      <c r="D4" s="3">
        <f>C4-B4</f>
        <v/>
      </c>
      <c r="E4" s="4" t="n">
        <v>0</v>
      </c>
      <c r="F4" s="4" t="n">
        <v>0</v>
      </c>
      <c r="G4" s="4">
        <f>F4-E4</f>
        <v/>
      </c>
      <c r="H4" s="5">
        <f>B4-E4</f>
        <v/>
      </c>
      <c r="I4" s="5">
        <f>C4-F4</f>
        <v/>
      </c>
      <c r="J4" s="5">
        <f>I4-H4</f>
        <v/>
      </c>
    </row>
    <row r="5">
      <c r="A5" s="2" t="inlineStr">
        <is>
          <t>Billetterie + Artistes</t>
        </is>
      </c>
      <c r="B5" s="3">
        <f>Billetterie!D10</f>
        <v/>
      </c>
      <c r="C5" s="3">
        <f>Billetterie!F10</f>
        <v/>
      </c>
      <c r="D5" s="3">
        <f>C5-B5</f>
        <v/>
      </c>
      <c r="E5" s="4">
        <f>Artistes!F36+Artistes!G36+Artistes!H36</f>
        <v/>
      </c>
      <c r="F5" s="4">
        <f>Artistes!J36+Artistes!K36</f>
        <v/>
      </c>
      <c r="G5" s="4">
        <f>F5-E5</f>
        <v/>
      </c>
      <c r="H5" s="5">
        <f>B5-E5</f>
        <v/>
      </c>
      <c r="I5" s="5">
        <f>C5-F5</f>
        <v/>
      </c>
      <c r="J5" s="5">
        <f>I5-H5</f>
        <v/>
      </c>
    </row>
    <row r="6">
      <c r="A6" s="2" t="inlineStr">
        <is>
          <t>F&amp;B (Buvettes + Restauration)</t>
        </is>
      </c>
      <c r="B6" s="3">
        <f>'F&amp;B'!D13</f>
        <v/>
      </c>
      <c r="C6" s="3">
        <f>'F&amp;B'!E13</f>
        <v/>
      </c>
      <c r="D6" s="3">
        <f>C6-B6</f>
        <v/>
      </c>
      <c r="E6" s="4">
        <f>'F&amp;B'!D27</f>
        <v/>
      </c>
      <c r="F6" s="4">
        <f>'F&amp;B'!E27</f>
        <v/>
      </c>
      <c r="G6" s="4">
        <f>F6-E6</f>
        <v/>
      </c>
      <c r="H6" s="5">
        <f>B6-E6</f>
        <v/>
      </c>
      <c r="I6" s="5">
        <f>C6-F6</f>
        <v/>
      </c>
      <c r="J6" s="5">
        <f>I6-H6</f>
        <v/>
      </c>
    </row>
    <row r="7">
      <c r="A7" s="2" t="inlineStr">
        <is>
          <t>Ateliers (recettes + coûts ateliers)</t>
        </is>
      </c>
      <c r="B7" s="3">
        <f>Ateliers!D14</f>
        <v/>
      </c>
      <c r="C7" s="3">
        <f>Ateliers!E14</f>
        <v/>
      </c>
      <c r="D7" s="3">
        <f>C7-B7</f>
        <v/>
      </c>
      <c r="E7" s="4">
        <f>Ateliers!D27</f>
        <v/>
      </c>
      <c r="F7" s="4">
        <f>Ateliers!E27</f>
        <v/>
      </c>
      <c r="G7" s="4">
        <f>F7-E7</f>
        <v/>
      </c>
      <c r="H7" s="5">
        <f>B7-E7</f>
        <v/>
      </c>
      <c r="I7" s="5">
        <f>C7-F7</f>
        <v/>
      </c>
      <c r="J7" s="5">
        <f>I7-H7</f>
        <v/>
      </c>
    </row>
    <row r="8">
      <c r="A8" s="2" t="inlineStr">
        <is>
          <t>Logistique</t>
        </is>
      </c>
      <c r="B8" s="3" t="n">
        <v>0</v>
      </c>
      <c r="C8" s="3" t="n">
        <v>0</v>
      </c>
      <c r="D8" s="3">
        <f>C8-B8</f>
        <v/>
      </c>
      <c r="E8" s="4">
        <f>Logistique!C18</f>
        <v/>
      </c>
      <c r="F8" s="4">
        <f>Logistique!D18</f>
        <v/>
      </c>
      <c r="G8" s="4">
        <f>F8-E8</f>
        <v/>
      </c>
      <c r="H8" s="5">
        <f>B8-E8</f>
        <v/>
      </c>
      <c r="I8" s="5">
        <f>C8-F8</f>
        <v/>
      </c>
      <c r="J8" s="5">
        <f>I8-H8</f>
        <v/>
      </c>
    </row>
    <row r="9">
      <c r="A9" s="2" t="inlineStr">
        <is>
          <t>Frais divers</t>
        </is>
      </c>
      <c r="B9" s="3">
        <f>'Frais divers'!D12</f>
        <v/>
      </c>
      <c r="C9" s="3">
        <f>'Frais divers'!E12</f>
        <v/>
      </c>
      <c r="D9" s="3">
        <f>C9-B9</f>
        <v/>
      </c>
      <c r="E9" s="4">
        <f>'Frais divers'!D29</f>
        <v/>
      </c>
      <c r="F9" s="4">
        <f>'Frais divers'!E29</f>
        <v/>
      </c>
      <c r="G9" s="4">
        <f>F9-E9</f>
        <v/>
      </c>
      <c r="H9" s="5">
        <f>B9-E9</f>
        <v/>
      </c>
      <c r="I9" s="5">
        <f>C9-F9</f>
        <v/>
      </c>
      <c r="J9" s="5">
        <f>I9-H9</f>
        <v/>
      </c>
    </row>
    <row r="11">
      <c r="A11" s="2" t="inlineStr">
        <is>
          <t>(ajustement défraiement supprimé : 150€ moyen intégré directement)</t>
        </is>
      </c>
      <c r="B11" s="5" t="n"/>
      <c r="C11" s="5" t="n"/>
      <c r="D11" s="5" t="n"/>
      <c r="E11" s="5" t="n">
        <v>0</v>
      </c>
      <c r="F11" s="5" t="n"/>
      <c r="G11" s="5" t="n"/>
      <c r="H11" s="5" t="n"/>
      <c r="I11" s="5" t="n"/>
      <c r="J11" s="5" t="n"/>
    </row>
    <row r="12">
      <c r="A12" s="6" t="inlineStr">
        <is>
          <t>TOTAL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SUM(H4:H11)</f>
        <v/>
      </c>
      <c r="I12" s="7">
        <f>SUM(I4:I11)</f>
        <v/>
      </c>
      <c r="J12" s="7">
        <f>SUM(J4:J11)</f>
        <v/>
      </c>
    </row>
    <row r="15" ht="15.6" customHeight="1" s="18">
      <c r="A15" s="17" t="inlineStr">
        <is>
          <t>SCÉNARIOS PAR JAUGE</t>
        </is>
      </c>
    </row>
    <row r="17">
      <c r="A17" s="1" t="inlineStr">
        <is>
          <t>Scénario</t>
        </is>
      </c>
      <c r="B17" s="1" t="inlineStr">
        <is>
          <t>Recettes</t>
        </is>
      </c>
      <c r="C17" s="1" t="inlineStr">
        <is>
          <t>Coûts</t>
        </is>
      </c>
      <c r="D17" s="1" t="inlineStr">
        <is>
          <t>Marge</t>
        </is>
      </c>
      <c r="E17" s="1" t="inlineStr">
        <is>
          <t>Jauge</t>
        </is>
      </c>
      <c r="F17" s="1" t="inlineStr">
        <is>
          <t>Nb festivaliers</t>
        </is>
      </c>
    </row>
    <row r="18">
      <c r="A18" s="8" t="inlineStr">
        <is>
          <t>Jauge -20%</t>
        </is>
      </c>
      <c r="B18" s="9" t="n">
        <v>47464</v>
      </c>
      <c r="C18" s="9" t="n">
        <v>47767</v>
      </c>
      <c r="D18" s="10" t="n">
        <v>-303</v>
      </c>
      <c r="E18" s="8" t="inlineStr">
        <is>
          <t>960</t>
        </is>
      </c>
      <c r="F18" s="8" t="n">
        <v>960</v>
      </c>
    </row>
    <row r="19">
      <c r="A19" s="11" t="inlineStr">
        <is>
          <t>Jauge standard</t>
        </is>
      </c>
      <c r="B19" s="12" t="n">
        <v>58482</v>
      </c>
      <c r="C19" s="12" t="n">
        <v>49907</v>
      </c>
      <c r="D19" s="13" t="n">
        <v>8575</v>
      </c>
      <c r="E19" s="11" t="inlineStr">
        <is>
          <t>1 200</t>
        </is>
      </c>
      <c r="F19" s="11" t="n">
        <v>1200</v>
      </c>
    </row>
    <row r="20">
      <c r="A20" s="8" t="inlineStr">
        <is>
          <t>Jauge +20%</t>
        </is>
      </c>
      <c r="B20" s="9" t="n">
        <v>69500</v>
      </c>
      <c r="C20" s="9" t="n">
        <v>52048</v>
      </c>
      <c r="D20" s="14" t="n">
        <v>17453</v>
      </c>
      <c r="E20" s="8" t="inlineStr">
        <is>
          <t>1 440</t>
        </is>
      </c>
      <c r="F20" s="8" t="n">
        <v>1440</v>
      </c>
    </row>
  </sheetData>
  <mergeCells count="2">
    <mergeCell ref="A1:J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10" defaultColWidth="8.88671875" defaultRowHeight="14.4"/>
  <cols>
    <col width="35" customWidth="1" style="18" min="1" max="2"/>
    <col width="16" customWidth="1" style="18" min="3" max="5"/>
  </cols>
  <sheetData>
    <row r="1" ht="15.6" customHeight="1" s="18">
      <c r="A1" s="17" t="inlineStr">
        <is>
          <t>CROWDFUNDING — Recettes HelloAsso</t>
        </is>
      </c>
    </row>
    <row r="3">
      <c r="A3" s="1" t="inlineStr">
        <is>
          <t>Date</t>
        </is>
      </c>
      <c r="B3" s="1" t="inlineStr">
        <is>
          <t>Description</t>
        </is>
      </c>
      <c r="C3" s="1" t="inlineStr">
        <is>
          <t>Prévu</t>
        </is>
      </c>
      <c r="D3" s="1" t="inlineStr">
        <is>
          <t>Réel</t>
        </is>
      </c>
      <c r="E3" s="1" t="inlineStr">
        <is>
          <t>Écart</t>
        </is>
      </c>
    </row>
    <row r="4">
      <c r="A4" s="15" t="n"/>
      <c r="B4" s="2" t="inlineStr">
        <is>
          <t>Objectif crowdfunding (palier 3)</t>
        </is>
      </c>
      <c r="C4" s="5" t="n">
        <v>8000</v>
      </c>
      <c r="D4" s="5" t="n"/>
      <c r="E4" s="5">
        <f>D4-C4</f>
        <v/>
      </c>
    </row>
    <row r="5">
      <c r="A5" s="15" t="n"/>
      <c r="B5" s="2" t="n"/>
      <c r="C5" s="5" t="n"/>
      <c r="D5" s="5" t="n"/>
      <c r="E5" s="5">
        <f>D5-C5</f>
        <v/>
      </c>
    </row>
    <row r="6">
      <c r="A6" s="15" t="n"/>
      <c r="B6" s="2" t="n"/>
      <c r="C6" s="5" t="n"/>
      <c r="D6" s="5" t="n"/>
      <c r="E6" s="5">
        <f>D6-C6</f>
        <v/>
      </c>
    </row>
    <row r="7">
      <c r="A7" s="15" t="n"/>
      <c r="B7" s="2" t="n"/>
      <c r="C7" s="5" t="n"/>
      <c r="D7" s="5" t="n"/>
      <c r="E7" s="5">
        <f>D7-C7</f>
        <v/>
      </c>
    </row>
    <row r="8">
      <c r="A8" s="15" t="n"/>
      <c r="B8" s="2" t="n"/>
      <c r="C8" s="5" t="n"/>
      <c r="D8" s="5" t="n"/>
      <c r="E8" s="5">
        <f>D8-C8</f>
        <v/>
      </c>
    </row>
    <row r="9">
      <c r="A9" s="15" t="n"/>
      <c r="B9" s="2" t="n"/>
      <c r="C9" s="5" t="n"/>
      <c r="D9" s="5" t="n"/>
      <c r="E9" s="5">
        <f>D9-C9</f>
        <v/>
      </c>
    </row>
    <row r="10">
      <c r="A10" s="15" t="n"/>
      <c r="B10" s="2" t="n"/>
      <c r="C10" s="5" t="n"/>
      <c r="D10" s="5" t="n"/>
      <c r="E10" s="5">
        <f>D10-C10</f>
        <v/>
      </c>
    </row>
    <row r="11">
      <c r="A11" s="15" t="n"/>
      <c r="B11" s="2" t="n"/>
      <c r="C11" s="5" t="n"/>
      <c r="D11" s="5" t="n"/>
      <c r="E11" s="5">
        <f>D11-C11</f>
        <v/>
      </c>
    </row>
    <row r="12">
      <c r="A12" s="15" t="n"/>
      <c r="B12" s="2" t="n"/>
      <c r="C12" s="5" t="n"/>
      <c r="D12" s="5" t="n"/>
      <c r="E12" s="5">
        <f>D12-C12</f>
        <v/>
      </c>
    </row>
    <row r="13">
      <c r="A13" s="15" t="n"/>
      <c r="B13" s="2" t="n"/>
      <c r="C13" s="5" t="n"/>
      <c r="D13" s="5" t="n"/>
      <c r="E13" s="5">
        <f>D13-C13</f>
        <v/>
      </c>
    </row>
    <row r="14">
      <c r="A14" s="15" t="n"/>
      <c r="B14" s="2" t="n"/>
      <c r="C14" s="5" t="n"/>
      <c r="D14" s="5" t="n"/>
      <c r="E14" s="5">
        <f>D14-C14</f>
        <v/>
      </c>
    </row>
    <row r="16">
      <c r="A16" s="6" t="inlineStr">
        <is>
          <t>TOTAL CROWDFUNDING</t>
        </is>
      </c>
      <c r="B16" s="6" t="n"/>
      <c r="C16" s="7">
        <f>SUM(C4:C14)</f>
        <v/>
      </c>
      <c r="D16" s="7">
        <f>SUM(D4:D14)</f>
        <v/>
      </c>
      <c r="E16" s="7">
        <f>SUM(E4:E14)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:G1"/>
    </sheetView>
  </sheetViews>
  <sheetFormatPr baseColWidth="10" defaultColWidth="8.88671875" defaultRowHeight="14.4"/>
  <cols>
    <col width="27" customWidth="1" style="18" min="1" max="1"/>
    <col width="9" customWidth="1" style="18" min="2" max="2"/>
    <col width="15" customWidth="1" style="18" min="3" max="3"/>
    <col width="20" customWidth="1" style="18" min="4" max="4"/>
    <col width="15" customWidth="1" style="18" min="5" max="5"/>
    <col width="20" customWidth="1" style="18" min="6" max="6"/>
    <col width="15" customWidth="1" style="18" min="7" max="7"/>
  </cols>
  <sheetData>
    <row r="1" ht="15.6" customHeight="1" s="18">
      <c r="A1" s="17" t="inlineStr">
        <is>
          <t>BILLETTERIE — Recettes</t>
        </is>
      </c>
    </row>
    <row r="3">
      <c r="A3" s="1" t="inlineStr">
        <is>
          <t>Type</t>
        </is>
      </c>
      <c r="B3" s="1" t="inlineStr">
        <is>
          <t>Tarif</t>
        </is>
      </c>
      <c r="C3" s="1" t="inlineStr">
        <is>
          <t>Nb prévu</t>
        </is>
      </c>
      <c r="D3" s="1" t="inlineStr">
        <is>
          <t>Recettes prévues</t>
        </is>
      </c>
      <c r="E3" s="1" t="inlineStr">
        <is>
          <t>Nb réel</t>
        </is>
      </c>
      <c r="F3" s="1" t="inlineStr">
        <is>
          <t>Recettes réelles</t>
        </is>
      </c>
      <c r="G3" s="1" t="inlineStr">
        <is>
          <t>Écart</t>
        </is>
      </c>
    </row>
    <row r="4">
      <c r="A4" s="2" t="inlineStr">
        <is>
          <t>Early bird pass 3 jours</t>
        </is>
      </c>
      <c r="B4" s="5" t="n">
        <v>20</v>
      </c>
      <c r="C4" s="2" t="n">
        <v>120</v>
      </c>
      <c r="D4" s="5">
        <f>B4*C4</f>
        <v/>
      </c>
      <c r="E4" s="2" t="n"/>
      <c r="F4" s="5">
        <f>B4*E4</f>
        <v/>
      </c>
      <c r="G4" s="5">
        <f>F4-D4</f>
        <v/>
      </c>
    </row>
    <row r="5">
      <c r="A5" s="2" t="inlineStr">
        <is>
          <t>Pass 3 jours</t>
        </is>
      </c>
      <c r="B5" s="5" t="n">
        <v>25</v>
      </c>
      <c r="C5" s="2" t="n">
        <v>480</v>
      </c>
      <c r="D5" s="5">
        <f>B5*C5</f>
        <v/>
      </c>
      <c r="E5" s="2" t="n"/>
      <c r="F5" s="5">
        <f>B5*E5</f>
        <v/>
      </c>
      <c r="G5" s="5">
        <f>F5-D5</f>
        <v/>
      </c>
    </row>
    <row r="6">
      <c r="A6" s="2" t="inlineStr">
        <is>
          <t>Vendredi</t>
        </is>
      </c>
      <c r="B6" s="5" t="n">
        <v>10</v>
      </c>
      <c r="C6" s="2" t="n">
        <v>150</v>
      </c>
      <c r="D6" s="5">
        <f>B6*C6</f>
        <v/>
      </c>
      <c r="E6" s="2" t="n"/>
      <c r="F6" s="5">
        <f>B6*E6</f>
        <v/>
      </c>
      <c r="G6" s="5">
        <f>F6-D6</f>
        <v/>
      </c>
    </row>
    <row r="7">
      <c r="A7" s="2" t="inlineStr">
        <is>
          <t>Samedi</t>
        </is>
      </c>
      <c r="B7" s="5" t="n">
        <v>15</v>
      </c>
      <c r="C7" s="2" t="n">
        <v>300</v>
      </c>
      <c r="D7" s="5">
        <f>B7*C7</f>
        <v/>
      </c>
      <c r="E7" s="2" t="n"/>
      <c r="F7" s="5">
        <f>B7*E7</f>
        <v/>
      </c>
      <c r="G7" s="5">
        <f>F7-D7</f>
        <v/>
      </c>
    </row>
    <row r="8">
      <c r="A8" s="2" t="inlineStr">
        <is>
          <t>Dimanche</t>
        </is>
      </c>
      <c r="B8" s="5" t="n">
        <v>15</v>
      </c>
      <c r="C8" s="2" t="n">
        <v>150</v>
      </c>
      <c r="D8" s="5">
        <f>B8*C8</f>
        <v/>
      </c>
      <c r="E8" s="2" t="n"/>
      <c r="F8" s="5">
        <f>B8*E8</f>
        <v/>
      </c>
      <c r="G8" s="5">
        <f>F8-D8</f>
        <v/>
      </c>
    </row>
    <row r="10">
      <c r="A10" s="6" t="inlineStr">
        <is>
          <t>TOTAL BILLETTERIE</t>
        </is>
      </c>
      <c r="B10" s="6" t="n"/>
      <c r="C10" s="7">
        <f>SUM(C4:C8)</f>
        <v/>
      </c>
      <c r="D10" s="7">
        <f>SUM(D4:D8)</f>
        <v/>
      </c>
      <c r="E10" s="7">
        <f>SUM(E4:E8)</f>
        <v/>
      </c>
      <c r="F10" s="7">
        <f>SUM(F4:F8)</f>
        <v/>
      </c>
      <c r="G10" s="7">
        <f>SUM(G4:G8)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8" customWidth="1" style="18" min="1" max="1"/>
    <col width="75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</cols>
  <sheetData>
    <row r="1" ht="24" customHeight="1" s="18">
      <c r="A1" s="26" t="inlineStr">
        <is>
          <t>F&amp;B — Buvettes + Restauration (Scénario B — validé 03/05/2026)</t>
        </is>
      </c>
    </row>
    <row r="3">
      <c r="A3" s="27" t="inlineStr">
        <is>
          <t>RECETTES par jour</t>
        </is>
      </c>
    </row>
    <row r="5">
      <c r="A5" s="28" t="inlineStr">
        <is>
          <t>Date</t>
        </is>
      </c>
      <c r="B5" s="28" t="inlineStr">
        <is>
          <t>Description</t>
        </is>
      </c>
      <c r="C5" s="28" t="inlineStr">
        <is>
          <t>Type</t>
        </is>
      </c>
      <c r="D5" s="28" t="inlineStr">
        <is>
          <t>Prévu</t>
        </is>
      </c>
      <c r="E5" s="28" t="inlineStr">
        <is>
          <t>Réel</t>
        </is>
      </c>
      <c r="F5" s="28" t="inlineStr">
        <is>
          <t>Écart</t>
        </is>
      </c>
    </row>
    <row r="6">
      <c r="A6" s="29" t="n"/>
      <c r="B6" s="29" t="inlineStr">
        <is>
          <t>Buvette Vendredi : bière 1200 + vin 540 + soft 793 + café 81</t>
        </is>
      </c>
      <c r="C6" s="29" t="inlineStr">
        <is>
          <t>Recette</t>
        </is>
      </c>
      <c r="D6" s="29" t="n">
        <v>2614</v>
      </c>
      <c r="E6" s="29" t="n"/>
      <c r="F6" s="29">
        <f>E6-D6</f>
        <v/>
      </c>
    </row>
    <row r="7">
      <c r="A7" s="29" t="n"/>
      <c r="B7" s="29" t="inlineStr">
        <is>
          <t>Buvette Samedi : bière 4600 + vin 1950 + soft 3439 + café 477 (jour fort)</t>
        </is>
      </c>
      <c r="C7" s="29" t="inlineStr">
        <is>
          <t>Recette</t>
        </is>
      </c>
      <c r="D7" s="29" t="n">
        <v>10466</v>
      </c>
      <c r="E7" s="29" t="n"/>
      <c r="F7" s="29">
        <f>E7-D7</f>
        <v/>
      </c>
    </row>
    <row r="8">
      <c r="A8" s="29" t="n"/>
      <c r="B8" s="29" t="inlineStr">
        <is>
          <t>Buvette Dimanche : bière 600 + vin 340 + soft 1188 + café 162</t>
        </is>
      </c>
      <c r="C8" s="29" t="inlineStr">
        <is>
          <t>Recette</t>
        </is>
      </c>
      <c r="D8" s="29" t="n">
        <v>2290</v>
      </c>
      <c r="E8" s="29" t="n"/>
      <c r="F8" s="29">
        <f>E8-D8</f>
        <v/>
      </c>
    </row>
    <row r="9">
      <c r="A9" s="29" t="n"/>
      <c r="B9" s="29" t="inlineStr">
        <is>
          <t>Restauration repas Vendredi : 225 assiettes (70% Grande 12€ / 30% Petite 9€, FC ou végé)</t>
        </is>
      </c>
      <c r="C9" s="29" t="inlineStr">
        <is>
          <t>Recette</t>
        </is>
      </c>
      <c r="D9" s="29" t="n">
        <v>2498</v>
      </c>
      <c r="E9" s="29" t="n"/>
      <c r="F9" s="29">
        <f>E9-D9</f>
        <v/>
      </c>
    </row>
    <row r="10">
      <c r="A10" s="29" t="n"/>
      <c r="B10" s="29" t="inlineStr">
        <is>
          <t>Restauration repas Samedi : 650 assiettes (Petite 9€ / Grande 12€, FC ou végé)</t>
        </is>
      </c>
      <c r="C10" s="29" t="inlineStr">
        <is>
          <t>Recette</t>
        </is>
      </c>
      <c r="D10" s="29" t="n">
        <v>7215</v>
      </c>
      <c r="E10" s="29" t="n"/>
      <c r="F10" s="29">
        <f>E10-D10</f>
        <v/>
      </c>
    </row>
    <row r="11">
      <c r="A11" s="29" t="n"/>
      <c r="B11" s="29" t="inlineStr">
        <is>
          <t>Restauration repas Dimanche : 225 assiettes (Petite 9€ / Grande 12€, FC ou végé)</t>
        </is>
      </c>
      <c r="C11" s="29" t="inlineStr">
        <is>
          <t>Recette</t>
        </is>
      </c>
      <c r="D11" s="29" t="n">
        <v>2498</v>
      </c>
      <c r="E11" s="29" t="n"/>
      <c r="F11" s="29">
        <f>E11-D11</f>
        <v/>
      </c>
    </row>
    <row r="12">
      <c r="A12" s="29" t="n"/>
      <c r="B12" s="29" t="inlineStr">
        <is>
          <t>Snacks Vendredi : pop-corn 60 (40p × 1,50€) + frites 120 + glaces 109 + tomates 150 (100p × 1,50€)</t>
        </is>
      </c>
      <c r="C12" s="29" t="inlineStr">
        <is>
          <t>Recette</t>
        </is>
      </c>
      <c r="D12" s="29" t="n">
        <v>439</v>
      </c>
      <c r="E12" s="29" t="n"/>
      <c r="F12" s="29">
        <f>E12-D12</f>
        <v/>
      </c>
    </row>
    <row r="13">
      <c r="A13" s="29" t="n"/>
      <c r="B13" s="29" t="inlineStr">
        <is>
          <t>Snacks Samedi : pop-corn 428 (285p × 1,50€) + frites 705 + glaces 850 + tomates 435 (290p × 1,50€)</t>
        </is>
      </c>
      <c r="C13" s="29" t="inlineStr">
        <is>
          <t>Recette</t>
        </is>
      </c>
      <c r="D13" s="29" t="n">
        <v>2418</v>
      </c>
      <c r="E13" s="29" t="n"/>
      <c r="F13" s="29">
        <f>E13-D13</f>
        <v/>
      </c>
    </row>
    <row r="14">
      <c r="A14" s="29" t="n"/>
      <c r="B14" s="29" t="inlineStr">
        <is>
          <t>Snacks Dimanche : pop-corn 120 (80p × 1,50€) + frites 240 + glaces 218 + tomates 165 (110p × 1,50€)</t>
        </is>
      </c>
      <c r="C14" s="29" t="inlineStr">
        <is>
          <t>Recette</t>
        </is>
      </c>
      <c r="D14" s="29" t="n">
        <v>743</v>
      </c>
      <c r="E14" s="29" t="n"/>
      <c r="F14" s="29">
        <f>E14-D14</f>
        <v/>
      </c>
    </row>
    <row r="15">
      <c r="A15" s="29" t="n"/>
      <c r="B15" s="29" t="inlineStr">
        <is>
          <t>Consignes écocup non remboursées (1 000 écocups × 20 % non-retour × 1 €)</t>
        </is>
      </c>
      <c r="C15" s="29" t="inlineStr">
        <is>
          <t>Recette</t>
        </is>
      </c>
      <c r="D15" s="29" t="n">
        <v>200</v>
      </c>
      <c r="E15" s="29" t="n"/>
      <c r="F15" s="29">
        <f>E15-D15</f>
        <v/>
      </c>
    </row>
    <row r="16">
      <c r="A16" s="30" t="inlineStr">
        <is>
          <t>TOTAL RECETTES F&amp;B</t>
        </is>
      </c>
      <c r="B16" s="30" t="n"/>
      <c r="C16" s="30" t="n"/>
      <c r="D16" s="30">
        <f>SUM(D6:D15)</f>
        <v/>
      </c>
      <c r="E16" s="30">
        <f>SUM(E6:E15)</f>
        <v/>
      </c>
      <c r="F16" s="30">
        <f>E16-D16</f>
        <v/>
      </c>
    </row>
    <row r="18">
      <c r="A18" s="31" t="inlineStr">
        <is>
          <t>COÛTS FIXES (incompressibles — indépendants de la fréquentation)</t>
        </is>
      </c>
    </row>
    <row r="20">
      <c r="A20" s="28" t="inlineStr">
        <is>
          <t>Date</t>
        </is>
      </c>
      <c r="B20" s="28" t="inlineStr">
        <is>
          <t>Description</t>
        </is>
      </c>
      <c r="C20" s="28" t="inlineStr">
        <is>
          <t>Type</t>
        </is>
      </c>
      <c r="D20" s="28" t="inlineStr">
        <is>
          <t>Prévu</t>
        </is>
      </c>
      <c r="E20" s="28" t="inlineStr">
        <is>
          <t>Réel</t>
        </is>
      </c>
      <c r="F20" s="28" t="inlineStr">
        <is>
          <t>Écart</t>
        </is>
      </c>
    </row>
    <row r="21">
      <c r="A21" s="29" t="n"/>
      <c r="B21" s="29" t="inlineStr">
        <is>
          <t>Percolateurs 4 × 10 L (ABC LOCATION)</t>
        </is>
      </c>
      <c r="C21" s="29" t="inlineStr">
        <is>
          <t>Dépense</t>
        </is>
      </c>
      <c r="D21" s="29" t="n">
        <v>345</v>
      </c>
      <c r="E21" s="29" t="n"/>
      <c r="F21" s="29">
        <f>E21-D21</f>
        <v/>
      </c>
    </row>
    <row r="22">
      <c r="A22" s="29" t="n"/>
      <c r="B22" s="29" t="inlineStr">
        <is>
          <t>Friteuses × 2 (ABC LOCATION)</t>
        </is>
      </c>
      <c r="C22" s="29" t="inlineStr">
        <is>
          <t>Dépense</t>
        </is>
      </c>
      <c r="D22" s="29" t="n">
        <v>172</v>
      </c>
      <c r="E22" s="29" t="n"/>
      <c r="F22" s="29">
        <f>E22-D22</f>
        <v/>
      </c>
    </row>
    <row r="23">
      <c r="A23" s="29" t="n"/>
      <c r="B23" s="29" t="inlineStr">
        <is>
          <t>Machine pop-corn (location)</t>
        </is>
      </c>
      <c r="C23" s="29" t="inlineStr">
        <is>
          <t>Dépense</t>
        </is>
      </c>
      <c r="D23" s="29" t="n">
        <v>252</v>
      </c>
      <c r="E23" s="29" t="n"/>
      <c r="F23" s="29">
        <f>E23-D23</f>
        <v/>
      </c>
    </row>
    <row r="24">
      <c r="A24" s="29" t="n"/>
      <c r="B24" s="29" t="inlineStr">
        <is>
          <t>Eau gratuite : fontaines + carafes (charge éthique)</t>
        </is>
      </c>
      <c r="C24" s="29" t="inlineStr">
        <is>
          <t>Dépense</t>
        </is>
      </c>
      <c r="D24" s="29" t="n">
        <v>400</v>
      </c>
      <c r="E24" s="29" t="n"/>
      <c r="F24" s="29">
        <f>E24-D24</f>
        <v/>
      </c>
    </row>
    <row r="25">
      <c r="A25" s="29" t="n"/>
      <c r="B25" s="29" t="inlineStr">
        <is>
          <t>HACCP : tablier + charlotte + gants jetables + sonde T° + désinfectant</t>
        </is>
      </c>
      <c r="C25" s="29" t="inlineStr">
        <is>
          <t>Dépense</t>
        </is>
      </c>
      <c r="D25" s="29" t="n">
        <v>80</v>
      </c>
      <c r="E25" s="29" t="n"/>
      <c r="F25" s="29">
        <f>E25-D25</f>
        <v/>
      </c>
    </row>
    <row r="26">
      <c r="A26" s="29" t="n"/>
      <c r="B26" s="29" t="inlineStr">
        <is>
          <t>Lavage écocups + sacs poubelles tri + récup huile usagée</t>
        </is>
      </c>
      <c r="C26" s="29" t="inlineStr">
        <is>
          <t>Dépense</t>
        </is>
      </c>
      <c r="D26" s="29" t="n">
        <v>120</v>
      </c>
      <c r="E26" s="29" t="n"/>
      <c r="F26" s="29">
        <f>E26-D26</f>
        <v/>
      </c>
    </row>
    <row r="27">
      <c r="A27" s="29" t="n"/>
      <c r="B27" s="29" t="inlineStr">
        <is>
          <t>Trousse premiers secours buvette</t>
        </is>
      </c>
      <c r="C27" s="29" t="inlineStr">
        <is>
          <t>Dépense</t>
        </is>
      </c>
      <c r="D27" s="29" t="n">
        <v>30</v>
      </c>
      <c r="E27" s="29" t="n"/>
      <c r="F27" s="29">
        <f>E27-D27</f>
        <v/>
      </c>
    </row>
    <row r="28">
      <c r="A28" s="29" t="n"/>
      <c r="B28" s="29" t="inlineStr">
        <is>
          <t>Affichage prix (ardoises + marqueurs) + caisse + ustensiles préparation</t>
        </is>
      </c>
      <c r="C28" s="29" t="inlineStr">
        <is>
          <t>Dépense</t>
        </is>
      </c>
      <c r="D28" s="29" t="n">
        <v>310</v>
      </c>
      <c r="E28" s="29" t="n"/>
      <c r="F28" s="29">
        <f>E28-D28</f>
        <v/>
      </c>
    </row>
    <row r="29">
      <c r="A29" s="30" t="inlineStr">
        <is>
          <t>TOTAL FIXES</t>
        </is>
      </c>
      <c r="B29" s="30" t="n"/>
      <c r="C29" s="30" t="n"/>
      <c r="D29" s="30">
        <f>SUM(D21:D28)</f>
        <v/>
      </c>
      <c r="E29" s="30">
        <f>SUM(E21:E28)</f>
        <v/>
      </c>
      <c r="F29" s="30">
        <f>E29-D29</f>
        <v/>
      </c>
    </row>
    <row r="31">
      <c r="A31" s="32" t="inlineStr">
        <is>
          <t>INVESTISSEMENT semi-fixe (amortissable sur éditions futures)</t>
        </is>
      </c>
    </row>
    <row r="33">
      <c r="A33" s="28" t="inlineStr">
        <is>
          <t>Date</t>
        </is>
      </c>
      <c r="B33" s="28" t="inlineStr">
        <is>
          <t>Description</t>
        </is>
      </c>
      <c r="C33" s="28" t="inlineStr">
        <is>
          <t>Type</t>
        </is>
      </c>
      <c r="D33" s="28" t="inlineStr">
        <is>
          <t>Prévu</t>
        </is>
      </c>
      <c r="E33" s="28" t="inlineStr">
        <is>
          <t>Réel</t>
        </is>
      </c>
      <c r="F33" s="28" t="inlineStr">
        <is>
          <t>Écart</t>
        </is>
      </c>
    </row>
    <row r="34">
      <c r="A34" s="29" t="n"/>
      <c r="B34" s="29" t="inlineStr">
        <is>
          <t>Écocups réutilisables Atomic — 1 000 pièces 25 cL (réutilisables éditions futures)</t>
        </is>
      </c>
      <c r="C34" s="29" t="inlineStr">
        <is>
          <t>Invest</t>
        </is>
      </c>
      <c r="D34" s="29" t="n">
        <v>600</v>
      </c>
      <c r="E34" s="29" t="n"/>
      <c r="F34" s="29">
        <f>E34-D34</f>
        <v/>
      </c>
    </row>
    <row r="35">
      <c r="A35" s="30" t="inlineStr">
        <is>
          <t>TOTAL INVEST</t>
        </is>
      </c>
      <c r="B35" s="30" t="n"/>
      <c r="C35" s="30" t="n"/>
      <c r="D35" s="30">
        <f>SUM(D34:D34)</f>
        <v/>
      </c>
      <c r="E35" s="30">
        <f>SUM(E34:E34)</f>
        <v/>
      </c>
      <c r="F35" s="30">
        <f>E35-D35</f>
        <v/>
      </c>
    </row>
    <row r="37">
      <c r="A37" s="33" t="inlineStr">
        <is>
          <t>COÛTS VARIABLES (proportionnels à la fréquentation, ajustables)</t>
        </is>
      </c>
    </row>
    <row r="39">
      <c r="A39" s="28" t="inlineStr">
        <is>
          <t>Date</t>
        </is>
      </c>
      <c r="B39" s="28" t="inlineStr">
        <is>
          <t>Description</t>
        </is>
      </c>
      <c r="C39" s="28" t="inlineStr">
        <is>
          <t>Type</t>
        </is>
      </c>
      <c r="D39" s="28" t="inlineStr">
        <is>
          <t>Prévu</t>
        </is>
      </c>
      <c r="E39" s="28" t="inlineStr">
        <is>
          <t>Réel</t>
        </is>
      </c>
      <c r="F39" s="28" t="inlineStr">
        <is>
          <t>Écart</t>
        </is>
      </c>
    </row>
    <row r="40">
      <c r="A40" s="29" t="n"/>
      <c r="B40" s="29" t="inlineStr">
        <is>
          <t>Bière Le Pintadier — 10 fûts initial (commande ferme)</t>
        </is>
      </c>
      <c r="C40" s="29" t="inlineStr">
        <is>
          <t>Dépense</t>
        </is>
      </c>
      <c r="D40" s="29" t="n">
        <v>800</v>
      </c>
      <c r="E40" s="29" t="n"/>
      <c r="F40" s="29">
        <f>E40-D40</f>
        <v/>
      </c>
    </row>
    <row r="41">
      <c r="A41" s="29" t="n"/>
      <c r="B41" s="29" t="inlineStr">
        <is>
          <t>Bière Le Pintadier — 5 fûts réassort éventuel (à activer vendredi soir si forte demande — +3200 € recettes)</t>
        </is>
      </c>
      <c r="C41" s="29" t="inlineStr">
        <is>
          <t>Dépense</t>
        </is>
      </c>
      <c r="D41" s="29" t="n">
        <v>0</v>
      </c>
      <c r="E41" s="29" t="n"/>
      <c r="F41" s="29">
        <f>E41-D41</f>
        <v/>
      </c>
    </row>
    <row r="42">
      <c r="A42" s="29" t="n"/>
      <c r="B42" s="29" t="inlineStr">
        <is>
          <t>Vin Cubi Jura 5 L (Hyper Boisson, prix négocié 50 €/cubi) × 29 cubis</t>
        </is>
      </c>
      <c r="C42" s="29" t="inlineStr">
        <is>
          <t>Dépense</t>
        </is>
      </c>
      <c r="D42" s="29" t="n">
        <v>1450</v>
      </c>
      <c r="E42" s="29" t="n"/>
      <c r="F42" s="29">
        <f>E42-D42</f>
        <v/>
      </c>
    </row>
    <row r="43">
      <c r="A43" s="29" t="n"/>
      <c r="B43" s="29" t="inlineStr">
        <is>
          <t>Soft : sirop 300 + jus 350 + Mortuacienne 58 + eau pét. 35 + eau plate 32</t>
        </is>
      </c>
      <c r="C43" s="29" t="inlineStr">
        <is>
          <t>Dépense</t>
        </is>
      </c>
      <c r="D43" s="29" t="n">
        <v>775</v>
      </c>
      <c r="E43" s="29" t="n"/>
      <c r="F43" s="29">
        <f>E43-D43</f>
        <v/>
      </c>
    </row>
    <row r="44">
      <c r="A44" s="29" t="n"/>
      <c r="B44" s="29" t="inlineStr">
        <is>
          <t>Café : poudre BFC + sucre + lait + mélangeurs + gobelets bio</t>
        </is>
      </c>
      <c r="C44" s="29" t="inlineStr">
        <is>
          <t>Dépense</t>
        </is>
      </c>
      <c r="D44" s="29" t="n">
        <v>110</v>
      </c>
      <c r="E44" s="29" t="n"/>
      <c r="F44" s="29">
        <f>E44-D44</f>
        <v/>
      </c>
    </row>
    <row r="45">
      <c r="A45" s="29" t="n"/>
      <c r="B45" s="29" t="inlineStr">
        <is>
          <t>Sucre bar additionnel + glace pilée bar</t>
        </is>
      </c>
      <c r="C45" s="29" t="inlineStr">
        <is>
          <t>Dépense</t>
        </is>
      </c>
      <c r="D45" s="29" t="n">
        <v>60</v>
      </c>
      <c r="E45" s="29" t="n"/>
      <c r="F45" s="29">
        <f>E45-D45</f>
        <v/>
      </c>
    </row>
    <row r="46">
      <c r="A46" s="29" t="n"/>
      <c r="B46" s="29" t="inlineStr">
        <is>
          <t>Pop-corn (1 flousy=1,50€) : maïs 10kg (15) + huile/sel (8) + gobelets bio 72cL (40) — 405 portions</t>
        </is>
      </c>
      <c r="C46" s="29" t="inlineStr">
        <is>
          <t>Dépense</t>
        </is>
      </c>
      <c r="D46" s="29" t="n">
        <v>63</v>
      </c>
      <c r="E46" s="29" t="n"/>
      <c r="F46" s="29">
        <f>E46-D46</f>
        <v/>
      </c>
    </row>
    <row r="47">
      <c r="A47" s="29" t="n"/>
      <c r="B47" s="29" t="inlineStr">
        <is>
          <t>Frites snack : pdt 50kg BFC (60) + huile (32) + sel (2) + barquettes (18) + sauces (36) — 360 portions</t>
        </is>
      </c>
      <c r="C47" s="29" t="inlineStr">
        <is>
          <t>Dépense</t>
        </is>
      </c>
      <c r="D47" s="29" t="n">
        <v>148</v>
      </c>
      <c r="E47" s="29" t="n"/>
      <c r="F47" s="29">
        <f>E47-D47</f>
        <v/>
      </c>
    </row>
    <row r="48">
      <c r="A48" s="29" t="n"/>
      <c r="B48" s="29" t="inlineStr">
        <is>
          <t>Glaces ERHARD (1 boule=1,50€/2 boules=3€) : 39 bacs 2,5L (94) + cornets gaufrette 560 (67) + back-up (3) — 560 portions, mix 60/40</t>
        </is>
      </c>
      <c r="C48" s="29" t="inlineStr">
        <is>
          <t>Dépense</t>
        </is>
      </c>
      <c r="D48" s="29" t="n">
        <v>164</v>
      </c>
      <c r="E48" s="29" t="n"/>
      <c r="F48" s="29">
        <f>E48-D48</f>
        <v/>
      </c>
    </row>
    <row r="49">
      <c r="A49" s="29" t="n"/>
      <c r="B49" s="29" t="inlineStr">
        <is>
          <t>Tomates cerise BRUNO (1 flousy=1,50€) : 75kg × 1,20€/kg (90) + gobelets bio 25cL (32) — 500 portions</t>
        </is>
      </c>
      <c r="C49" s="29" t="inlineStr">
        <is>
          <t>Dépense</t>
        </is>
      </c>
      <c r="D49" s="29" t="n">
        <v>122</v>
      </c>
      <c r="E49" s="29" t="n"/>
      <c r="F49" s="29">
        <f>E49-D49</f>
        <v/>
      </c>
    </row>
    <row r="50">
      <c r="A50" s="29" t="n"/>
      <c r="B50" s="29" t="inlineStr">
        <is>
          <t>Assiettes : 770 grandes (3,07 €/u) + 330 petites (2,48 €/u) — mix 70% FC / 30% végé</t>
        </is>
      </c>
      <c r="C50" s="29" t="inlineStr">
        <is>
          <t>Dépense</t>
        </is>
      </c>
      <c r="D50" s="29" t="n">
        <v>3182</v>
      </c>
      <c r="E50" s="29" t="n"/>
      <c r="F50" s="29">
        <f>E50-D50</f>
        <v/>
      </c>
    </row>
    <row r="51">
      <c r="A51" s="29" t="n"/>
      <c r="B51" s="29" t="inlineStr">
        <is>
          <t>Frites incluses dans grandes assiettes : 770 × 0,42 €</t>
        </is>
      </c>
      <c r="C51" s="29" t="inlineStr">
        <is>
          <t>Dépense</t>
        </is>
      </c>
      <c r="D51" s="29" t="n">
        <v>323</v>
      </c>
      <c r="E51" s="29" t="n"/>
      <c r="F51" s="29">
        <f>E51-D51</f>
        <v/>
      </c>
    </row>
    <row r="52">
      <c r="A52" s="29" t="n"/>
      <c r="B52" s="29" t="inlineStr">
        <is>
          <t>Vaisselle bio jetable : gobelets soft+café+pop-corn + serviettes + back-up bière 300v</t>
        </is>
      </c>
      <c r="C52" s="29" t="inlineStr">
        <is>
          <t>Dépense</t>
        </is>
      </c>
      <c r="D52" s="29" t="n">
        <v>319</v>
      </c>
      <c r="E52" s="29" t="n"/>
      <c r="F52" s="29">
        <f>E52-D52</f>
        <v/>
      </c>
    </row>
    <row r="53">
      <c r="A53" s="30" t="inlineStr">
        <is>
          <t>TOTAL VARIABLES</t>
        </is>
      </c>
      <c r="B53" s="30" t="n"/>
      <c r="C53" s="30" t="n"/>
      <c r="D53" s="30">
        <f>SUM(D40:D52)</f>
        <v/>
      </c>
      <c r="E53" s="30">
        <f>SUM(E40:E52)</f>
        <v/>
      </c>
      <c r="F53" s="30">
        <f>E53-D53</f>
        <v/>
      </c>
    </row>
    <row r="55">
      <c r="A55" s="34" t="inlineStr">
        <is>
          <t>SYNTHÈSE F&amp;B</t>
        </is>
      </c>
    </row>
    <row r="57">
      <c r="A57" s="30" t="n"/>
      <c r="B57" s="30" t="inlineStr">
        <is>
          <t>TOTAL COÛTS F&amp;B (Fixes + Invest + Variables)</t>
        </is>
      </c>
      <c r="C57" s="30" t="n"/>
      <c r="D57" s="30">
        <f>D29+D35+D53</f>
        <v/>
      </c>
      <c r="E57" s="30">
        <f>E29+E35+E53</f>
        <v/>
      </c>
      <c r="F57" s="30">
        <f>E57-D57</f>
        <v/>
      </c>
    </row>
    <row r="58">
      <c r="A58" s="30" t="n"/>
      <c r="B58" s="30" t="inlineStr">
        <is>
          <t>TOTAL RECETTES F&amp;B</t>
        </is>
      </c>
      <c r="C58" s="30" t="n"/>
      <c r="D58" s="30">
        <f>D16</f>
        <v/>
      </c>
      <c r="E58" s="30">
        <f>E16</f>
        <v/>
      </c>
      <c r="F58" s="30">
        <f>E58-D58</f>
        <v/>
      </c>
    </row>
    <row r="59">
      <c r="A59" s="35" t="n"/>
      <c r="B59" s="35" t="inlineStr">
        <is>
          <t>MARGE F&amp;B (sans réassort bière) — hors SACEM (Droits d'auteur) et hors repas artistes (Artistes)</t>
        </is>
      </c>
      <c r="C59" s="35" t="n"/>
      <c r="D59" s="35">
        <f>D58-D57</f>
        <v/>
      </c>
      <c r="E59" s="35">
        <f>E58-E57</f>
        <v/>
      </c>
      <c r="F59" s="35">
        <f>E59-D59</f>
        <v/>
      </c>
    </row>
    <row r="61">
      <c r="A61" s="36" t="inlineStr">
        <is>
          <t>Notes</t>
        </is>
      </c>
    </row>
    <row r="62" ht="16" customHeight="1" s="18">
      <c r="A62" s="37" t="inlineStr">
        <is>
          <t>• Réassort bière (5 fûts +400 € coûts ; +3 200 € recettes) : décision vendredi soir selon consommation observée</t>
        </is>
      </c>
    </row>
    <row r="63" ht="16" customHeight="1" s="18">
      <c r="A63" s="37" t="inlineStr">
        <is>
          <t>• Marge avec réassort = ~24 882 € (vs 22 082 € sans). Activable à coût marginal nul.</t>
        </is>
      </c>
    </row>
    <row r="64" ht="16" customHeight="1" s="18">
      <c r="A64" s="37" t="inlineStr">
        <is>
          <t>• SACEM (4,4 % buvette) EXCLUE : à confirmer auprès de SACEM BFC qu'elle n'est pas due (déjà 8,8 % billetterie)</t>
        </is>
      </c>
    </row>
    <row r="65" ht="16" customHeight="1" s="18">
      <c r="A65" s="37" t="inlineStr">
        <is>
          <t>• Repas artistes (~555 €) EXCLUS : à imputer au budget Artistes (cohérence avec convention défraiement)</t>
        </is>
      </c>
    </row>
    <row r="66" ht="16" customHeight="1" s="18">
      <c r="A66" s="37" t="inlineStr">
        <is>
          <t>• Charges fixes 1 709 € + invest écocups 600 € = seuil de couverture ~127 fest cumulés (largement atteint)</t>
        </is>
      </c>
    </row>
    <row r="67" ht="16" customHeight="1" s="18">
      <c r="A67" s="37" t="inlineStr">
        <is>
          <t>• Marge variable par festivalier (sans réassort) = ~18,30 €/fest</t>
        </is>
      </c>
    </row>
  </sheetData>
  <mergeCells count="12">
    <mergeCell ref="A63:F63"/>
    <mergeCell ref="A66:F66"/>
    <mergeCell ref="A1:F1"/>
    <mergeCell ref="A37:F37"/>
    <mergeCell ref="A67:F67"/>
    <mergeCell ref="A31:F31"/>
    <mergeCell ref="A18:F18"/>
    <mergeCell ref="A62:F62"/>
    <mergeCell ref="A3:F3"/>
    <mergeCell ref="A55:F55"/>
    <mergeCell ref="A64:F64"/>
    <mergeCell ref="A65:F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topLeftCell="A3" workbookViewId="0">
      <selection activeCell="A1" sqref="A1:F1"/>
    </sheetView>
  </sheetViews>
  <sheetFormatPr baseColWidth="10" defaultColWidth="8.88671875" defaultRowHeight="14.4"/>
  <cols>
    <col width="35" customWidth="1" style="18" min="1" max="2"/>
    <col width="11" customWidth="1" style="18" min="3" max="3"/>
    <col width="17" customWidth="1" style="18" min="4" max="6"/>
  </cols>
  <sheetData>
    <row r="1" ht="15.6" customHeight="1" s="18">
      <c r="A1" s="17" t="inlineStr">
        <is>
          <t>ATELIERS — Recettes &amp; Dépenses</t>
        </is>
      </c>
    </row>
    <row r="3" ht="15.6" customHeight="1" s="18">
      <c r="A3" s="17" t="inlineStr">
        <is>
          <t>Recettes (cotisations participants)</t>
        </is>
      </c>
    </row>
    <row r="5">
      <c r="A5" s="1" t="inlineStr">
        <is>
          <t>Date</t>
        </is>
      </c>
      <c r="B5" s="1" t="inlineStr">
        <is>
          <t>Description</t>
        </is>
      </c>
      <c r="C5" s="1" t="inlineStr">
        <is>
          <t>Type</t>
        </is>
      </c>
      <c r="D5" s="1" t="inlineStr">
        <is>
          <t>Prévu</t>
        </is>
      </c>
      <c r="E5" s="1" t="inlineStr">
        <is>
          <t>Réel</t>
        </is>
      </c>
      <c r="F5" s="1" t="inlineStr">
        <is>
          <t>Écart</t>
        </is>
      </c>
    </row>
    <row r="6">
      <c r="A6" s="15" t="n"/>
      <c r="B6" s="2" t="inlineStr">
        <is>
          <t>Masterclass chant lyrique (4 élèves × 60 €)</t>
        </is>
      </c>
      <c r="C6" s="2" t="inlineStr">
        <is>
          <t>Recette</t>
        </is>
      </c>
      <c r="D6" s="5" t="n">
        <v>240</v>
      </c>
      <c r="E6" s="5" t="n"/>
      <c r="F6" s="5">
        <f>E6-D6</f>
        <v/>
      </c>
    </row>
    <row r="7">
      <c r="A7" s="15" t="n"/>
      <c r="B7" s="2" t="inlineStr">
        <is>
          <t>Atelier écriture (15 pers × 50 € + 150 € lycée)</t>
        </is>
      </c>
      <c r="C7" s="2" t="inlineStr">
        <is>
          <t>Recette</t>
        </is>
      </c>
      <c r="D7" s="5" t="n">
        <v>900</v>
      </c>
      <c r="E7" s="5" t="n"/>
      <c r="F7" s="5">
        <f>E7-D7</f>
        <v/>
      </c>
    </row>
    <row r="8">
      <c r="A8" s="15" t="n"/>
      <c r="B8" s="2" t="inlineStr">
        <is>
          <t>Atelier musique &amp; théâtre (30 pers × 50 €)</t>
        </is>
      </c>
      <c r="C8" s="2" t="inlineStr">
        <is>
          <t>Recette</t>
        </is>
      </c>
      <c r="D8" s="5" t="n">
        <v>1500</v>
      </c>
      <c r="E8" s="5" t="n"/>
      <c r="F8" s="5">
        <f>E8-D8</f>
        <v/>
      </c>
    </row>
    <row r="9">
      <c r="A9" s="15" t="n"/>
      <c r="B9" s="2" t="inlineStr">
        <is>
          <t>Atelier DJ (15 pers × 50 €)</t>
        </is>
      </c>
      <c r="C9" s="2" t="inlineStr">
        <is>
          <t>Recette</t>
        </is>
      </c>
      <c r="D9" s="5" t="n">
        <v>750</v>
      </c>
      <c r="E9" s="5" t="n"/>
      <c r="F9" s="5">
        <f>E9-D9</f>
        <v/>
      </c>
    </row>
    <row r="10">
      <c r="A10" s="15" t="n"/>
      <c r="B10" s="2" t="n"/>
      <c r="C10" s="2" t="n"/>
      <c r="D10" s="5" t="n"/>
      <c r="E10" s="5" t="n"/>
      <c r="F10" s="5">
        <f>E10-D10</f>
        <v/>
      </c>
    </row>
    <row r="11">
      <c r="A11" s="15" t="n"/>
      <c r="B11" s="2" t="n"/>
      <c r="C11" s="2" t="n"/>
      <c r="D11" s="5" t="n"/>
      <c r="E11" s="5" t="n"/>
      <c r="F11" s="5">
        <f>E11-D11</f>
        <v/>
      </c>
    </row>
    <row r="12">
      <c r="A12" s="15" t="n"/>
      <c r="B12" s="2" t="n"/>
      <c r="C12" s="2" t="n"/>
      <c r="D12" s="5" t="n"/>
      <c r="E12" s="5" t="n"/>
      <c r="F12" s="5">
        <f>E12-D12</f>
        <v/>
      </c>
    </row>
    <row r="14">
      <c r="A14" s="6" t="inlineStr">
        <is>
          <t>TOTAL RECETTES ATELIERS</t>
        </is>
      </c>
      <c r="B14" s="6" t="n"/>
      <c r="C14" s="6" t="n"/>
      <c r="D14" s="7">
        <f>SUM(D6:D12)</f>
        <v/>
      </c>
      <c r="E14" s="7">
        <f>SUM(E6:E12)</f>
        <v/>
      </c>
      <c r="F14" s="7">
        <f>SUM(F6:F12)</f>
        <v/>
      </c>
    </row>
    <row r="16" ht="15.6" customHeight="1" s="18">
      <c r="A16" s="17" t="inlineStr">
        <is>
          <t>Dépenses (intervenants ateliers)</t>
        </is>
      </c>
    </row>
    <row r="18">
      <c r="A18" s="1" t="inlineStr">
        <is>
          <t>Date</t>
        </is>
      </c>
      <c r="B18" s="1" t="inlineStr">
        <is>
          <t>Description</t>
        </is>
      </c>
      <c r="C18" s="1" t="inlineStr">
        <is>
          <t>Type</t>
        </is>
      </c>
      <c r="D18" s="1" t="inlineStr">
        <is>
          <t>Prévu</t>
        </is>
      </c>
      <c r="E18" s="1" t="inlineStr">
        <is>
          <t>Réel</t>
        </is>
      </c>
      <c r="F18" s="1" t="inlineStr">
        <is>
          <t>Écart</t>
        </is>
      </c>
    </row>
    <row r="19">
      <c r="A19" s="15" t="n"/>
      <c r="B19" s="2" t="inlineStr">
        <is>
          <t>Rép. Fabulo (4 art. x 2 jours x 100€)</t>
        </is>
      </c>
      <c r="C19" s="2" t="inlineStr">
        <is>
          <t>Dépense</t>
        </is>
      </c>
      <c r="D19" s="5" t="n">
        <v>800</v>
      </c>
      <c r="E19" s="5" t="n"/>
      <c r="F19" s="5">
        <f>E19-D19</f>
        <v/>
      </c>
    </row>
    <row r="20">
      <c r="A20" s="15" t="n"/>
      <c r="B20" s="2" t="inlineStr">
        <is>
          <t>Rép. Masterclass chant — Romane (incl. Fabulo)</t>
        </is>
      </c>
      <c r="C20" s="2" t="inlineStr">
        <is>
          <t>Dépense</t>
        </is>
      </c>
      <c r="D20" s="5" t="n">
        <v>0</v>
      </c>
      <c r="E20" s="5" t="n"/>
      <c r="F20" s="5">
        <f>E20-D20</f>
        <v/>
      </c>
    </row>
    <row r="21">
      <c r="A21" s="15" t="n"/>
      <c r="B21" s="2" t="inlineStr">
        <is>
          <t>Rép. Atelier écriture — Sylvain (2 jours x 100€)</t>
        </is>
      </c>
      <c r="C21" s="2" t="inlineStr">
        <is>
          <t>Dépense</t>
        </is>
      </c>
      <c r="D21" s="5" t="n">
        <v>200</v>
      </c>
      <c r="E21" s="5" t="n"/>
      <c r="F21" s="5">
        <f>E21-D21</f>
        <v/>
      </c>
    </row>
    <row r="22">
      <c r="A22" s="15" t="n"/>
      <c r="B22" s="2" t="inlineStr">
        <is>
          <t>Rép. Atelier DJ — Jeff (2 jours x 100€)</t>
        </is>
      </c>
      <c r="C22" s="2" t="inlineStr">
        <is>
          <t>Dépense</t>
        </is>
      </c>
      <c r="D22" s="5" t="n">
        <v>200</v>
      </c>
      <c r="E22" s="5" t="n"/>
      <c r="F22" s="5">
        <f>E22-D22</f>
        <v/>
      </c>
    </row>
    <row r="23">
      <c r="A23" s="15" t="n"/>
      <c r="B23" s="2" t="n"/>
      <c r="C23" s="2" t="n"/>
      <c r="D23" s="5" t="n"/>
      <c r="E23" s="5" t="n"/>
      <c r="F23" s="5">
        <f>E23-D23</f>
        <v/>
      </c>
    </row>
    <row r="24">
      <c r="A24" s="15" t="n"/>
      <c r="B24" s="2" t="n"/>
      <c r="C24" s="2" t="n"/>
      <c r="D24" s="5" t="n"/>
      <c r="E24" s="5" t="n"/>
      <c r="F24" s="5">
        <f>E24-D24</f>
        <v/>
      </c>
    </row>
    <row r="25">
      <c r="A25" s="15" t="n"/>
      <c r="B25" s="2" t="n"/>
      <c r="C25" s="2" t="n"/>
      <c r="D25" s="5" t="n"/>
      <c r="E25" s="5" t="n"/>
      <c r="F25" s="5">
        <f>E25-D25</f>
        <v/>
      </c>
    </row>
    <row r="27">
      <c r="A27" s="6" t="inlineStr">
        <is>
          <t>TOTAL DÉPENSES ATELIERS</t>
        </is>
      </c>
      <c r="B27" s="6" t="n"/>
      <c r="C27" s="6" t="n"/>
      <c r="D27" s="7">
        <f>SUM(D19:D25)</f>
        <v/>
      </c>
      <c r="E27" s="7">
        <f>SUM(E19:E25)</f>
        <v/>
      </c>
      <c r="F27" s="7">
        <f>SUM(F19:F25)</f>
        <v/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tabSelected="1" workbookViewId="0">
      <selection activeCell="B32" sqref="B32:B36"/>
    </sheetView>
  </sheetViews>
  <sheetFormatPr baseColWidth="10" defaultColWidth="8.88671875" defaultRowHeight="14.4"/>
  <cols>
    <col width="35" customWidth="1" style="18" min="1" max="1"/>
    <col width="18" customWidth="1" style="18" min="2" max="2"/>
    <col width="21" customWidth="1" style="18" min="3" max="3"/>
    <col width="14" customWidth="1" style="18" min="4" max="4"/>
    <col width="11" customWidth="1" style="18" min="5" max="5"/>
    <col width="22" customWidth="1" style="18" min="6" max="6"/>
    <col width="19" customWidth="1" style="18" min="7" max="7"/>
    <col width="21" customWidth="1" style="18" min="8" max="8"/>
    <col width="16" customWidth="1" style="18" min="9" max="9"/>
    <col width="17" customWidth="1" style="18" min="10" max="10"/>
    <col width="20" customWidth="1" style="18" min="11" max="11"/>
    <col width="16" customWidth="1" style="18" min="12" max="12"/>
    <col width="17" customWidth="1" style="18" min="13" max="13"/>
    <col width="16" customWidth="1" style="18" min="14" max="14"/>
  </cols>
  <sheetData>
    <row r="1" ht="15.6" customHeight="1" s="18">
      <c r="A1" s="17" t="inlineStr">
        <is>
          <t>ARTISTES — Dépenses (cachet 250€, rép. 100€, défr. 200€ max)</t>
        </is>
      </c>
    </row>
    <row r="2" ht="15.6" customHeight="1" s="18">
      <c r="A2" s="17" t="n"/>
    </row>
    <row r="3">
      <c r="A3" s="2" t="inlineStr">
        <is>
          <t>Georges Cabaret (Sète, 34) - France hors BFC</t>
        </is>
      </c>
      <c r="B3" s="2" t="inlineStr">
        <is>
          <t>Musique</t>
        </is>
      </c>
      <c r="C3" s="2" t="inlineStr"/>
      <c r="D3" s="2" t="n">
        <v>1</v>
      </c>
      <c r="E3" s="2" t="n">
        <v>0</v>
      </c>
      <c r="F3" s="2" t="n">
        <v>250</v>
      </c>
      <c r="G3" s="2" t="n">
        <v>0</v>
      </c>
      <c r="H3" s="2" t="n">
        <v>150</v>
      </c>
      <c r="I3" s="2" t="n">
        <v>400</v>
      </c>
      <c r="J3" s="2" t="inlineStr"/>
      <c r="K3" s="2" t="inlineStr"/>
      <c r="L3" s="2" t="n">
        <v>0</v>
      </c>
      <c r="M3" s="2" t="inlineStr"/>
      <c r="N3" s="2" t="n">
        <v>-400</v>
      </c>
    </row>
    <row r="4">
      <c r="A4" s="2" t="inlineStr">
        <is>
          <t>Loretta (locale)</t>
        </is>
      </c>
      <c r="B4" s="2" t="inlineStr">
        <is>
          <t>Musique</t>
        </is>
      </c>
      <c r="C4" s="2" t="inlineStr"/>
      <c r="D4" s="2" t="n">
        <v>1</v>
      </c>
      <c r="E4" s="2" t="n">
        <v>0</v>
      </c>
      <c r="F4" s="2" t="n">
        <v>250</v>
      </c>
      <c r="G4" s="2" t="n">
        <v>0</v>
      </c>
      <c r="H4" s="2" t="n">
        <v>0</v>
      </c>
      <c r="I4" s="2" t="n">
        <v>250</v>
      </c>
      <c r="J4" s="2" t="inlineStr"/>
      <c r="K4" s="2" t="inlineStr"/>
      <c r="L4" s="2" t="n">
        <v>0</v>
      </c>
      <c r="M4" s="2" t="inlineStr"/>
      <c r="N4" s="2" t="n">
        <v>-250</v>
      </c>
    </row>
    <row r="5">
      <c r="A5" s="2" t="inlineStr">
        <is>
          <t>Fanélie Nava</t>
        </is>
      </c>
      <c r="B5" s="2" t="inlineStr">
        <is>
          <t>Musique</t>
        </is>
      </c>
      <c r="C5" s="2" t="inlineStr"/>
      <c r="D5" s="2" t="n">
        <v>1</v>
      </c>
      <c r="E5" s="2" t="n">
        <v>0</v>
      </c>
      <c r="F5" s="2" t="n">
        <v>250</v>
      </c>
      <c r="G5" s="2" t="n">
        <v>0</v>
      </c>
      <c r="H5" s="2" t="n">
        <v>150</v>
      </c>
      <c r="I5" s="2" t="n">
        <v>400</v>
      </c>
      <c r="J5" s="2" t="inlineStr"/>
      <c r="K5" s="2" t="inlineStr"/>
      <c r="L5" s="2" t="n">
        <v>0</v>
      </c>
      <c r="M5" s="2" t="inlineStr"/>
      <c r="N5" s="2" t="n">
        <v>-400</v>
      </c>
    </row>
    <row r="6">
      <c r="A6" s="2" t="inlineStr">
        <is>
          <t>Manu - Wambo (local)</t>
        </is>
      </c>
      <c r="B6" s="2" t="inlineStr">
        <is>
          <t>Musique</t>
        </is>
      </c>
      <c r="C6" s="2" t="inlineStr"/>
      <c r="D6" s="2" t="n">
        <v>1</v>
      </c>
      <c r="E6" s="2" t="n">
        <v>0</v>
      </c>
      <c r="F6" s="2" t="n">
        <v>250</v>
      </c>
      <c r="G6" s="2" t="n">
        <v>0</v>
      </c>
      <c r="H6" s="2" t="n">
        <v>0</v>
      </c>
      <c r="I6" s="2" t="n">
        <v>250</v>
      </c>
      <c r="J6" s="2" t="inlineStr"/>
      <c r="K6" s="2" t="inlineStr"/>
      <c r="L6" s="2" t="n">
        <v>0</v>
      </c>
      <c r="M6" s="2" t="inlineStr"/>
      <c r="N6" s="2" t="n">
        <v>-250</v>
      </c>
    </row>
    <row r="7">
      <c r="A7" s="2" t="inlineStr">
        <is>
          <t>Antoine Vermot - Jeff The Fool (local, parents BFC)</t>
        </is>
      </c>
      <c r="B7" s="2" t="inlineStr">
        <is>
          <t>Musique</t>
        </is>
      </c>
      <c r="C7" s="2" t="inlineStr">
        <is>
          <t>Atelier DJ</t>
        </is>
      </c>
      <c r="D7" s="2" t="n">
        <v>0</v>
      </c>
      <c r="E7" s="2" t="n">
        <v>2</v>
      </c>
      <c r="F7" s="2" t="n">
        <v>0</v>
      </c>
      <c r="G7" s="2" t="n">
        <v>200</v>
      </c>
      <c r="H7" s="2" t="n">
        <v>0</v>
      </c>
      <c r="I7" s="2" t="n">
        <v>200</v>
      </c>
      <c r="J7" s="2" t="inlineStr"/>
      <c r="K7" s="2" t="inlineStr"/>
      <c r="L7" s="2" t="n">
        <v>0</v>
      </c>
      <c r="M7" s="2" t="inlineStr"/>
      <c r="N7" s="2" t="n">
        <v>-200</v>
      </c>
    </row>
    <row r="8">
      <c r="A8" s="2" t="inlineStr">
        <is>
          <t>Wet Enough?! (5 art.)</t>
        </is>
      </c>
      <c r="B8" s="2" t="inlineStr">
        <is>
          <t>Musique — Collectif</t>
        </is>
      </c>
      <c r="C8" s="2" t="inlineStr"/>
      <c r="D8" s="2" t="n">
        <v>5</v>
      </c>
      <c r="E8" s="2" t="n">
        <v>0</v>
      </c>
      <c r="F8" s="2" t="n">
        <v>1250</v>
      </c>
      <c r="G8" s="2" t="n">
        <v>0</v>
      </c>
      <c r="H8" s="2" t="n">
        <v>750</v>
      </c>
      <c r="I8" s="2" t="n">
        <v>2000</v>
      </c>
      <c r="J8" s="2" t="inlineStr"/>
      <c r="K8" s="2" t="inlineStr"/>
      <c r="L8" s="2" t="n">
        <v>0</v>
      </c>
      <c r="M8" s="2" t="inlineStr"/>
      <c r="N8" s="2" t="n">
        <v>-2000</v>
      </c>
    </row>
    <row r="9">
      <c r="A9" s="2" t="inlineStr">
        <is>
          <t>Osmosis (3 art.)</t>
        </is>
      </c>
      <c r="B9" s="2" t="inlineStr">
        <is>
          <t>Musique — Collectif</t>
        </is>
      </c>
      <c r="C9" s="2" t="inlineStr"/>
      <c r="D9" s="2" t="n">
        <v>3</v>
      </c>
      <c r="E9" s="2" t="n">
        <v>0</v>
      </c>
      <c r="F9" s="2" t="n">
        <v>750</v>
      </c>
      <c r="G9" s="2" t="n">
        <v>0</v>
      </c>
      <c r="H9" s="2" t="n">
        <v>450</v>
      </c>
      <c r="I9" s="2" t="n">
        <v>1200</v>
      </c>
      <c r="J9" s="2" t="inlineStr"/>
      <c r="K9" s="2" t="inlineStr"/>
      <c r="L9" s="2" t="n">
        <v>0</v>
      </c>
      <c r="M9" s="2" t="inlineStr"/>
      <c r="N9" s="2" t="n">
        <v>-1200</v>
      </c>
    </row>
    <row r="10">
      <c r="A10" s="2" t="inlineStr">
        <is>
          <t>Vladimir Torres Trio (3 art.) - France hors BFC</t>
        </is>
      </c>
      <c r="B10" s="2" t="inlineStr">
        <is>
          <t>Musique — Collectif</t>
        </is>
      </c>
      <c r="C10" s="2" t="inlineStr"/>
      <c r="D10" s="2" t="n">
        <v>3</v>
      </c>
      <c r="E10" s="2" t="n">
        <v>0</v>
      </c>
      <c r="F10" s="2" t="n">
        <v>750</v>
      </c>
      <c r="G10" s="2" t="n">
        <v>0</v>
      </c>
      <c r="H10" s="2" t="n">
        <v>450</v>
      </c>
      <c r="I10" s="2" t="n">
        <v>1200</v>
      </c>
      <c r="J10" s="2" t="inlineStr"/>
      <c r="K10" s="2" t="inlineStr"/>
      <c r="L10" s="2" t="n">
        <v>0</v>
      </c>
      <c r="M10" s="2" t="inlineStr"/>
      <c r="N10" s="2" t="n">
        <v>-1200</v>
      </c>
    </row>
    <row r="11">
      <c r="A11" s="2" t="inlineStr">
        <is>
          <t>Kaïnza (3 art.)</t>
        </is>
      </c>
      <c r="B11" s="2" t="inlineStr">
        <is>
          <t>Musique — Collectif</t>
        </is>
      </c>
      <c r="C11" s="2" t="inlineStr"/>
      <c r="D11" s="2" t="n">
        <v>3</v>
      </c>
      <c r="E11" s="2" t="n">
        <v>0</v>
      </c>
      <c r="F11" s="2" t="n">
        <v>750</v>
      </c>
      <c r="G11" s="2" t="n">
        <v>0</v>
      </c>
      <c r="H11" s="2" t="n">
        <v>450</v>
      </c>
      <c r="I11" s="2" t="n">
        <v>1200</v>
      </c>
      <c r="J11" s="2" t="inlineStr"/>
      <c r="K11" s="2" t="inlineStr"/>
      <c r="L11" s="2" t="n">
        <v>0</v>
      </c>
      <c r="M11" s="2" t="inlineStr"/>
      <c r="N11" s="2" t="n">
        <v>-1200</v>
      </c>
    </row>
    <row r="12">
      <c r="A12" s="2" t="inlineStr">
        <is>
          <t>Léopold (famille)</t>
        </is>
      </c>
      <c r="B12" s="2" t="inlineStr">
        <is>
          <t>Musique</t>
        </is>
      </c>
      <c r="C12" s="2" t="inlineStr">
        <is>
          <t>Atelier DJ</t>
        </is>
      </c>
      <c r="D12" s="2" t="n">
        <v>0</v>
      </c>
      <c r="E12" s="2" t="n">
        <v>2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/>
      <c r="K12" s="2" t="inlineStr"/>
      <c r="L12" s="2" t="n">
        <v>0</v>
      </c>
      <c r="M12" s="2" t="inlineStr"/>
      <c r="N12" s="2" t="n">
        <v>0</v>
      </c>
    </row>
    <row r="13">
      <c r="A13" s="2" t="inlineStr">
        <is>
          <t>Luther (famille)</t>
        </is>
      </c>
      <c r="B13" s="2" t="inlineStr">
        <is>
          <t>Musique</t>
        </is>
      </c>
      <c r="C13" s="2" t="inlineStr"/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inlineStr"/>
      <c r="L13" s="2" t="n">
        <v>0</v>
      </c>
      <c r="M13" s="2" t="inlineStr"/>
      <c r="N13" s="2" t="n">
        <v>0</v>
      </c>
    </row>
    <row r="14">
      <c r="A14" s="2" t="inlineStr">
        <is>
          <t>Marius (Fabulo)</t>
        </is>
      </c>
      <c r="B14" s="2" t="inlineStr">
        <is>
          <t>Fabulo — Collectif</t>
        </is>
      </c>
      <c r="C14" s="2" t="inlineStr">
        <is>
          <t>Musique &amp; théâtre</t>
        </is>
      </c>
      <c r="D14" s="2" t="n">
        <v>2</v>
      </c>
      <c r="E14" s="2" t="n">
        <v>2</v>
      </c>
      <c r="F14" s="2" t="n">
        <v>500</v>
      </c>
      <c r="G14" s="2" t="n">
        <v>200</v>
      </c>
      <c r="H14" s="2" t="n">
        <v>150</v>
      </c>
      <c r="I14" s="2" t="n">
        <v>850</v>
      </c>
      <c r="J14" s="2" t="inlineStr"/>
      <c r="K14" s="2" t="inlineStr"/>
      <c r="L14" s="2" t="n">
        <v>0</v>
      </c>
      <c r="M14" s="2" t="inlineStr"/>
      <c r="N14" s="2" t="n">
        <v>-850</v>
      </c>
    </row>
    <row r="15">
      <c r="A15" s="2" t="inlineStr">
        <is>
          <t>Maya (Fabulo)</t>
        </is>
      </c>
      <c r="B15" s="2" t="inlineStr">
        <is>
          <t>Fabulo — Collectif</t>
        </is>
      </c>
      <c r="C15" s="2" t="inlineStr">
        <is>
          <t>Musique &amp; théâtre</t>
        </is>
      </c>
      <c r="D15" s="2" t="n">
        <v>2</v>
      </c>
      <c r="E15" s="2" t="n">
        <v>2</v>
      </c>
      <c r="F15" s="2" t="n">
        <v>500</v>
      </c>
      <c r="G15" s="2" t="n">
        <v>200</v>
      </c>
      <c r="H15" s="2" t="n">
        <v>150</v>
      </c>
      <c r="I15" s="2" t="n">
        <v>850</v>
      </c>
      <c r="J15" s="2" t="inlineStr"/>
      <c r="K15" s="2" t="inlineStr"/>
      <c r="L15" s="2" t="n">
        <v>0</v>
      </c>
      <c r="M15" s="2" t="inlineStr"/>
      <c r="N15" s="2" t="n">
        <v>-850</v>
      </c>
    </row>
    <row r="16">
      <c r="A16" s="2" t="inlineStr">
        <is>
          <t>Raphaëlle (Fabulo)</t>
        </is>
      </c>
      <c r="B16" s="2" t="inlineStr">
        <is>
          <t>Fabulo — Collectif</t>
        </is>
      </c>
      <c r="C16" s="2" t="inlineStr">
        <is>
          <t>Musique &amp; théâtre</t>
        </is>
      </c>
      <c r="D16" s="2" t="n">
        <v>2</v>
      </c>
      <c r="E16" s="2" t="n">
        <v>2</v>
      </c>
      <c r="F16" s="2" t="n">
        <v>500</v>
      </c>
      <c r="G16" s="2" t="n">
        <v>200</v>
      </c>
      <c r="H16" s="2" t="n">
        <v>150</v>
      </c>
      <c r="I16" s="2" t="n">
        <v>850</v>
      </c>
      <c r="J16" s="2" t="inlineStr"/>
      <c r="K16" s="2" t="inlineStr"/>
      <c r="L16" s="2" t="n">
        <v>0</v>
      </c>
      <c r="M16" s="2" t="inlineStr"/>
      <c r="N16" s="2" t="n">
        <v>-850</v>
      </c>
    </row>
    <row r="17">
      <c r="A17" s="2" t="inlineStr">
        <is>
          <t>Romane Cabaret (vient avec Lorraine)</t>
        </is>
      </c>
      <c r="B17" s="2" t="inlineStr">
        <is>
          <t>Fabulo — Collectif</t>
        </is>
      </c>
      <c r="C17" s="2" t="inlineStr">
        <is>
          <t>Masterclass chant</t>
        </is>
      </c>
      <c r="D17" s="2" t="n">
        <v>4</v>
      </c>
      <c r="E17" s="2" t="n">
        <v>2</v>
      </c>
      <c r="F17" s="2" t="n">
        <v>1000</v>
      </c>
      <c r="G17" s="2" t="n">
        <v>200</v>
      </c>
      <c r="H17" s="2" t="n">
        <v>0</v>
      </c>
      <c r="I17" s="2" t="n">
        <v>1200</v>
      </c>
      <c r="J17" s="2" t="inlineStr"/>
      <c r="K17" s="2" t="inlineStr"/>
      <c r="L17" s="2" t="n">
        <v>0</v>
      </c>
      <c r="M17" s="2" t="inlineStr"/>
      <c r="N17" s="2" t="n">
        <v>-1200</v>
      </c>
    </row>
    <row r="18">
      <c r="A18" s="2" t="inlineStr">
        <is>
          <t>Lorraine (famille)</t>
        </is>
      </c>
      <c r="B18" s="2" t="inlineStr">
        <is>
          <t>Fabulo</t>
        </is>
      </c>
      <c r="C18" s="2" t="inlineStr">
        <is>
          <t>Musique &amp; théâtre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inlineStr"/>
      <c r="K18" s="2" t="inlineStr"/>
      <c r="L18" s="2" t="n">
        <v>0</v>
      </c>
      <c r="M18" s="2" t="inlineStr"/>
      <c r="N18" s="2" t="n">
        <v>0</v>
      </c>
    </row>
    <row r="19">
      <c r="A19" s="2" t="inlineStr">
        <is>
          <t>Marc Trembovelski</t>
        </is>
      </c>
      <c r="B19" s="2" t="inlineStr">
        <is>
          <t>Classique</t>
        </is>
      </c>
      <c r="C19" s="2" t="inlineStr"/>
      <c r="D19" s="2" t="n">
        <v>2</v>
      </c>
      <c r="E19" s="2" t="n">
        <v>0</v>
      </c>
      <c r="F19" s="2" t="n">
        <v>500</v>
      </c>
      <c r="G19" s="2" t="n">
        <v>0</v>
      </c>
      <c r="H19" s="2" t="n">
        <v>200</v>
      </c>
      <c r="I19" s="2" t="n">
        <v>700</v>
      </c>
      <c r="J19" s="2" t="inlineStr"/>
      <c r="K19" s="2" t="inlineStr"/>
      <c r="L19" s="2" t="n">
        <v>0</v>
      </c>
      <c r="M19" s="2" t="inlineStr"/>
      <c r="N19" s="2" t="n">
        <v>-700</v>
      </c>
    </row>
    <row r="20">
      <c r="A20" s="2" t="inlineStr">
        <is>
          <t>Sophie Ehling</t>
        </is>
      </c>
      <c r="B20" s="2" t="inlineStr">
        <is>
          <t>Classique</t>
        </is>
      </c>
      <c r="C20" s="2" t="inlineStr"/>
      <c r="D20" s="2" t="n">
        <v>2</v>
      </c>
      <c r="E20" s="2" t="n">
        <v>0</v>
      </c>
      <c r="F20" s="2" t="n">
        <v>500</v>
      </c>
      <c r="G20" s="2" t="n">
        <v>0</v>
      </c>
      <c r="H20" s="2" t="n">
        <v>200</v>
      </c>
      <c r="I20" s="2" t="n">
        <v>700</v>
      </c>
      <c r="J20" s="2" t="inlineStr"/>
      <c r="K20" s="2" t="inlineStr"/>
      <c r="L20" s="2" t="n">
        <v>0</v>
      </c>
      <c r="M20" s="2" t="inlineStr"/>
      <c r="N20" s="2" t="n">
        <v>-700</v>
      </c>
    </row>
    <row r="21">
      <c r="A21" s="2" t="inlineStr">
        <is>
          <t>Jakub Wycislik</t>
        </is>
      </c>
      <c r="B21" s="2" t="inlineStr">
        <is>
          <t>Classique</t>
        </is>
      </c>
      <c r="C21" s="2" t="inlineStr"/>
      <c r="D21" s="2" t="n">
        <v>2</v>
      </c>
      <c r="E21" s="2" t="n">
        <v>0</v>
      </c>
      <c r="F21" s="2" t="n">
        <v>500</v>
      </c>
      <c r="G21" s="2" t="n">
        <v>0</v>
      </c>
      <c r="H21" s="2" t="n">
        <v>200</v>
      </c>
      <c r="I21" s="2" t="n">
        <v>700</v>
      </c>
      <c r="J21" s="2" t="inlineStr"/>
      <c r="K21" s="2" t="inlineStr"/>
      <c r="L21" s="2" t="n">
        <v>0</v>
      </c>
      <c r="M21" s="2" t="inlineStr"/>
      <c r="N21" s="2" t="n">
        <v>-700</v>
      </c>
    </row>
    <row r="22">
      <c r="A22" s="2" t="inlineStr">
        <is>
          <t>Beatriz Correia</t>
        </is>
      </c>
      <c r="B22" s="2" t="inlineStr">
        <is>
          <t>Classique</t>
        </is>
      </c>
      <c r="C22" s="2" t="inlineStr"/>
      <c r="D22" s="2" t="n">
        <v>2</v>
      </c>
      <c r="E22" s="2" t="n">
        <v>0</v>
      </c>
      <c r="F22" s="2" t="n">
        <v>500</v>
      </c>
      <c r="G22" s="2" t="n">
        <v>0</v>
      </c>
      <c r="H22" s="2" t="n">
        <v>200</v>
      </c>
      <c r="I22" s="2" t="n">
        <v>700</v>
      </c>
      <c r="J22" s="2" t="inlineStr"/>
      <c r="K22" s="2" t="inlineStr"/>
      <c r="L22" s="2" t="n">
        <v>0</v>
      </c>
      <c r="M22" s="2" t="inlineStr"/>
      <c r="N22" s="2" t="n">
        <v>-700</v>
      </c>
    </row>
    <row r="23">
      <c r="A23" s="2" t="inlineStr">
        <is>
          <t>Volodia Van Keulen</t>
        </is>
      </c>
      <c r="B23" s="2" t="inlineStr">
        <is>
          <t>Classique</t>
        </is>
      </c>
      <c r="C23" s="2" t="inlineStr"/>
      <c r="D23" s="2" t="n">
        <v>2</v>
      </c>
      <c r="E23" s="2" t="n">
        <v>0</v>
      </c>
      <c r="F23" s="2" t="n">
        <v>500</v>
      </c>
      <c r="G23" s="2" t="n">
        <v>0</v>
      </c>
      <c r="H23" s="2" t="n">
        <v>150</v>
      </c>
      <c r="I23" s="2" t="n">
        <v>650</v>
      </c>
      <c r="J23" s="2" t="inlineStr"/>
      <c r="K23" s="2" t="inlineStr"/>
      <c r="L23" s="2" t="n">
        <v>0</v>
      </c>
      <c r="M23" s="2" t="inlineStr"/>
      <c r="N23" s="2" t="n">
        <v>-650</v>
      </c>
    </row>
    <row r="24">
      <c r="A24" s="2" t="inlineStr">
        <is>
          <t>Augustin Lemonnier (pianiste)</t>
        </is>
      </c>
      <c r="B24" s="2" t="inlineStr">
        <is>
          <t>Classique</t>
        </is>
      </c>
      <c r="C24" s="2" t="inlineStr"/>
      <c r="D24" s="2" t="n">
        <v>1</v>
      </c>
      <c r="E24" s="2" t="n">
        <v>0</v>
      </c>
      <c r="F24" s="2" t="n">
        <v>250</v>
      </c>
      <c r="G24" s="2" t="n">
        <v>0</v>
      </c>
      <c r="H24" s="2" t="n">
        <v>150</v>
      </c>
      <c r="I24" s="2" t="n">
        <v>400</v>
      </c>
      <c r="J24" s="2" t="inlineStr"/>
      <c r="K24" s="2" t="inlineStr"/>
      <c r="L24" s="2" t="n">
        <v>0</v>
      </c>
      <c r="M24" s="2" t="inlineStr"/>
      <c r="N24" s="2" t="n">
        <v>-400</v>
      </c>
    </row>
    <row r="25">
      <c r="A25" s="2" t="inlineStr">
        <is>
          <t>Nils Van Keulen (Masterclass)</t>
        </is>
      </c>
      <c r="B25" s="2" t="inlineStr">
        <is>
          <t>Classique</t>
        </is>
      </c>
      <c r="C25" s="2" t="inlineStr">
        <is>
          <t>Masterclass chant</t>
        </is>
      </c>
      <c r="D25" s="2" t="n">
        <v>0</v>
      </c>
      <c r="E25" s="2" t="n">
        <v>1</v>
      </c>
      <c r="F25" s="2" t="n">
        <v>0</v>
      </c>
      <c r="G25" s="2" t="n">
        <v>100</v>
      </c>
      <c r="H25" s="2" t="n">
        <v>0</v>
      </c>
      <c r="I25" s="2" t="n">
        <v>100</v>
      </c>
      <c r="J25" s="2" t="inlineStr"/>
      <c r="K25" s="2" t="inlineStr"/>
      <c r="L25" s="2" t="n">
        <v>0</v>
      </c>
      <c r="M25" s="2" t="inlineStr"/>
      <c r="N25" s="2" t="n">
        <v>-100</v>
      </c>
    </row>
    <row r="26">
      <c r="A26" s="2" t="inlineStr">
        <is>
          <t>Sylvain Septours (vient avec Lewis)</t>
        </is>
      </c>
      <c r="B26" s="2" t="inlineStr">
        <is>
          <t>Théâtre</t>
        </is>
      </c>
      <c r="C26" s="2" t="inlineStr">
        <is>
          <t>Atelier écriture</t>
        </is>
      </c>
      <c r="D26" s="2" t="n">
        <v>0</v>
      </c>
      <c r="E26" s="2" t="n">
        <v>2</v>
      </c>
      <c r="F26" s="2" t="n">
        <v>0</v>
      </c>
      <c r="G26" s="2" t="n">
        <v>200</v>
      </c>
      <c r="H26" s="2" t="n">
        <v>0</v>
      </c>
      <c r="I26" s="2" t="n">
        <v>200</v>
      </c>
      <c r="J26" s="2" t="inlineStr"/>
      <c r="K26" s="2" t="inlineStr"/>
      <c r="L26" s="2" t="n">
        <v>0</v>
      </c>
      <c r="M26" s="2" t="inlineStr"/>
      <c r="N26" s="2" t="n">
        <v>-200</v>
      </c>
    </row>
    <row r="27">
      <c r="A27" s="2" t="inlineStr">
        <is>
          <t>Marius Ponnelle (Treize Clique)</t>
        </is>
      </c>
      <c r="B27" s="2" t="inlineStr">
        <is>
          <t>Théâtre — Collectif</t>
        </is>
      </c>
      <c r="C27" s="2" t="inlineStr"/>
      <c r="D27" s="2" t="n">
        <v>1</v>
      </c>
      <c r="E27" s="2" t="n">
        <v>0</v>
      </c>
      <c r="F27" s="2" t="n">
        <v>250</v>
      </c>
      <c r="G27" s="2" t="n">
        <v>0</v>
      </c>
      <c r="H27" s="2" t="n">
        <v>150</v>
      </c>
      <c r="I27" s="2" t="n">
        <v>400</v>
      </c>
      <c r="J27" s="2" t="inlineStr"/>
      <c r="K27" s="2" t="inlineStr"/>
      <c r="L27" s="2" t="n">
        <v>0</v>
      </c>
      <c r="M27" s="2" t="inlineStr"/>
      <c r="N27" s="2" t="n">
        <v>-400</v>
      </c>
    </row>
    <row r="28">
      <c r="A28" s="2" t="inlineStr">
        <is>
          <t>Comédien 2 (Treize Clique)</t>
        </is>
      </c>
      <c r="B28" s="2" t="inlineStr">
        <is>
          <t>Théâtre — Collectif</t>
        </is>
      </c>
      <c r="C28" s="2" t="inlineStr"/>
      <c r="D28" s="2" t="n">
        <v>1</v>
      </c>
      <c r="E28" s="2" t="n">
        <v>0</v>
      </c>
      <c r="F28" s="2" t="n">
        <v>250</v>
      </c>
      <c r="G28" s="2" t="n">
        <v>0</v>
      </c>
      <c r="H28" s="2" t="n">
        <v>150</v>
      </c>
      <c r="I28" s="2" t="n">
        <v>400</v>
      </c>
      <c r="J28" s="2" t="inlineStr"/>
      <c r="K28" s="2" t="inlineStr"/>
      <c r="L28" s="2" t="n">
        <v>0</v>
      </c>
      <c r="M28" s="2" t="inlineStr"/>
      <c r="N28" s="2" t="n">
        <v>-400</v>
      </c>
    </row>
    <row r="29">
      <c r="A29" s="2" t="inlineStr">
        <is>
          <t>Comédien 3 (Treize Clique)</t>
        </is>
      </c>
      <c r="B29" s="2" t="inlineStr">
        <is>
          <t>Théâtre — Collectif</t>
        </is>
      </c>
      <c r="C29" s="2" t="inlineStr"/>
      <c r="D29" s="2" t="n">
        <v>1</v>
      </c>
      <c r="E29" s="2" t="n">
        <v>0</v>
      </c>
      <c r="F29" s="2" t="n">
        <v>250</v>
      </c>
      <c r="G29" s="2" t="n">
        <v>0</v>
      </c>
      <c r="H29" s="2" t="n">
        <v>150</v>
      </c>
      <c r="I29" s="2" t="n">
        <v>400</v>
      </c>
      <c r="J29" s="2" t="inlineStr"/>
      <c r="K29" s="2" t="inlineStr"/>
      <c r="L29" s="2" t="n">
        <v>0</v>
      </c>
      <c r="M29" s="2" t="inlineStr"/>
      <c r="N29" s="2" t="n">
        <v>-400</v>
      </c>
    </row>
    <row r="30">
      <c r="A30" s="2" t="inlineStr">
        <is>
          <t>Lewis (famille)</t>
        </is>
      </c>
      <c r="B30" s="2" t="inlineStr">
        <is>
          <t>Théâtre</t>
        </is>
      </c>
      <c r="C30" s="2" t="inlineStr">
        <is>
          <t>Éloquence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inlineStr"/>
      <c r="K30" s="2" t="inlineStr"/>
      <c r="L30" s="2" t="n">
        <v>0</v>
      </c>
      <c r="M30" s="2" t="inlineStr"/>
      <c r="N30" s="2" t="n">
        <v>0</v>
      </c>
    </row>
    <row r="31">
      <c r="A31" s="2" t="inlineStr">
        <is>
          <t>Cie Nenni ma foi - Patatra (4 art.)</t>
        </is>
      </c>
      <c r="B31" s="2" t="inlineStr">
        <is>
          <t>Théâtre — Coll AP</t>
        </is>
      </c>
      <c r="C31" s="2" t="inlineStr"/>
      <c r="D31" s="2" t="n">
        <v>4</v>
      </c>
      <c r="E31" s="2" t="n">
        <v>0</v>
      </c>
      <c r="F31" s="2" t="n">
        <v>1000</v>
      </c>
      <c r="G31" s="2" t="n">
        <v>0</v>
      </c>
      <c r="H31" s="2" t="n">
        <v>0</v>
      </c>
      <c r="I31" s="2" t="n">
        <v>1000</v>
      </c>
      <c r="J31" s="2" t="inlineStr"/>
      <c r="K31" s="2" t="inlineStr"/>
      <c r="L31" s="2" t="n">
        <v>0</v>
      </c>
      <c r="M31" s="2" t="inlineStr"/>
      <c r="N31" s="2" t="n">
        <v>-1000</v>
      </c>
    </row>
    <row r="32">
      <c r="A32" s="2" t="inlineStr">
        <is>
          <t>Cie Vous faites un feu? (2 art.)</t>
        </is>
      </c>
      <c r="B32" s="2" t="inlineStr">
        <is>
          <t>Théâtre — Coll AP</t>
        </is>
      </c>
      <c r="C32" s="2" t="inlineStr"/>
      <c r="D32" s="2" t="n">
        <v>2</v>
      </c>
      <c r="E32" s="2" t="n">
        <v>0</v>
      </c>
      <c r="F32" s="2" t="n">
        <v>500</v>
      </c>
      <c r="G32" s="2" t="n">
        <v>0</v>
      </c>
      <c r="H32" s="2" t="n">
        <v>0</v>
      </c>
      <c r="I32" s="2" t="n">
        <v>500</v>
      </c>
      <c r="J32" s="2" t="inlineStr"/>
      <c r="K32" s="2" t="inlineStr"/>
      <c r="L32" s="2" t="n">
        <v>0</v>
      </c>
      <c r="M32" s="2" t="inlineStr"/>
      <c r="N32" s="2" t="n">
        <v>-500</v>
      </c>
    </row>
    <row r="33">
      <c r="A33" s="2" t="inlineStr">
        <is>
          <t>Cie Derrière le mur - Trafic (2 art.)</t>
        </is>
      </c>
      <c r="B33" s="2" t="inlineStr">
        <is>
          <t>Théâtre — Coll AP</t>
        </is>
      </c>
      <c r="C33" s="2" t="inlineStr"/>
      <c r="D33" s="2" t="n">
        <v>2</v>
      </c>
      <c r="E33" s="2" t="n">
        <v>0</v>
      </c>
      <c r="F33" s="2" t="n">
        <v>500</v>
      </c>
      <c r="G33" s="2" t="n">
        <v>0</v>
      </c>
      <c r="H33" s="2" t="n">
        <v>0</v>
      </c>
      <c r="I33" s="2" t="n">
        <v>500</v>
      </c>
      <c r="J33" s="2" t="inlineStr"/>
      <c r="K33" s="2" t="inlineStr"/>
      <c r="L33" s="2" t="n">
        <v>0</v>
      </c>
      <c r="M33" s="2" t="inlineStr"/>
      <c r="N33" s="2" t="n">
        <v>-500</v>
      </c>
    </row>
    <row r="34">
      <c r="A34" s="2" t="inlineStr">
        <is>
          <t>Cie L'Entre - V.I.E.N.S dimanche (3 art.)</t>
        </is>
      </c>
      <c r="B34" s="2" t="inlineStr">
        <is>
          <t>Théâtre — Coll AP</t>
        </is>
      </c>
      <c r="C34" s="2" t="inlineStr"/>
      <c r="D34" s="2" t="n">
        <v>3</v>
      </c>
      <c r="E34" s="2" t="n">
        <v>0</v>
      </c>
      <c r="F34" s="2" t="n">
        <v>750</v>
      </c>
      <c r="G34" s="2" t="n">
        <v>0</v>
      </c>
      <c r="H34" s="2" t="n">
        <v>0</v>
      </c>
      <c r="I34" s="2" t="n">
        <v>750</v>
      </c>
      <c r="J34" s="2" t="inlineStr"/>
      <c r="K34" s="2" t="inlineStr"/>
      <c r="L34" s="2" t="n">
        <v>0</v>
      </c>
      <c r="M34" s="2" t="inlineStr"/>
      <c r="N34" s="2" t="n">
        <v>-750</v>
      </c>
    </row>
    <row r="35">
      <c r="A35" s="2" t="inlineStr">
        <is>
          <t>À travers la fenêtre des heures (2 art.) - Belgique</t>
        </is>
      </c>
      <c r="B35" s="2" t="inlineStr">
        <is>
          <t>Classique — Coll</t>
        </is>
      </c>
      <c r="C35" s="2" t="inlineStr"/>
      <c r="D35" s="2" t="n">
        <v>2</v>
      </c>
      <c r="E35" s="2" t="n">
        <v>0</v>
      </c>
      <c r="F35" s="2" t="n">
        <v>500</v>
      </c>
      <c r="G35" s="2" t="n">
        <v>0</v>
      </c>
      <c r="H35" s="2" t="n">
        <v>400</v>
      </c>
      <c r="I35" s="2" t="n">
        <v>900</v>
      </c>
      <c r="J35" s="2" t="inlineStr"/>
      <c r="K35" s="2" t="inlineStr"/>
      <c r="L35" s="2" t="n">
        <v>0</v>
      </c>
      <c r="M35" s="2" t="inlineStr"/>
      <c r="N35" s="2" t="n">
        <v>-900</v>
      </c>
    </row>
    <row r="36">
      <c r="A36" s="20" t="inlineStr">
        <is>
          <t>TOTAL ARTISTES</t>
        </is>
      </c>
      <c r="B36" s="20" t="n"/>
      <c r="C36" s="20" t="n"/>
      <c r="D36" s="20">
        <f>SUM(D3:D35)</f>
        <v/>
      </c>
      <c r="E36" s="20">
        <f>SUM(E3:E35)</f>
        <v/>
      </c>
      <c r="F36" s="20">
        <f>SUM(F3:F35)</f>
        <v/>
      </c>
      <c r="G36" s="20">
        <f>SUM(G3:G35)</f>
        <v/>
      </c>
      <c r="H36" s="20">
        <f>SUM(H3:H35)</f>
        <v/>
      </c>
      <c r="I36" s="20">
        <f>SUM(I3:I35)</f>
        <v/>
      </c>
      <c r="J36" s="20">
        <f>SUM(J3:J35)</f>
        <v/>
      </c>
      <c r="K36" s="20">
        <f>SUM(K3:K35)</f>
        <v/>
      </c>
      <c r="L36" s="20">
        <f>SUM(L3:L35)</f>
        <v/>
      </c>
      <c r="M36" s="20" t="n"/>
      <c r="N36" s="20">
        <f>SUM(N3:N35)</f>
        <v/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10" defaultColWidth="8.88671875" defaultRowHeight="14.4"/>
  <cols>
    <col width="25" customWidth="1" style="18" min="1" max="1"/>
    <col width="35" customWidth="1" style="18" min="2" max="2"/>
    <col width="16" customWidth="1" style="18" min="3" max="5"/>
  </cols>
  <sheetData>
    <row r="1" ht="15.6" customHeight="1" s="18">
      <c r="A1" s="17" t="inlineStr">
        <is>
          <t>LOGISTIQUE — Dépenses</t>
        </is>
      </c>
    </row>
    <row r="3">
      <c r="A3" s="1" t="inlineStr">
        <is>
          <t>Date</t>
        </is>
      </c>
      <c r="B3" s="1" t="inlineStr">
        <is>
          <t>Description</t>
        </is>
      </c>
      <c r="C3" s="1" t="inlineStr">
        <is>
          <t>Prévu</t>
        </is>
      </c>
      <c r="D3" s="1" t="inlineStr">
        <is>
          <t>Réel</t>
        </is>
      </c>
      <c r="E3" s="1" t="inlineStr">
        <is>
          <t>Écart</t>
        </is>
      </c>
    </row>
    <row r="4">
      <c r="A4" s="15" t="n"/>
      <c r="B4" s="2" t="inlineStr">
        <is>
          <t>Location salle / terrain</t>
        </is>
      </c>
      <c r="C4" s="5" t="n">
        <v>3000</v>
      </c>
      <c r="D4" s="5" t="n"/>
      <c r="E4" s="5">
        <f>D4-C4</f>
        <v/>
      </c>
    </row>
    <row r="5">
      <c r="A5" s="15" t="n"/>
      <c r="B5" s="2" t="inlineStr">
        <is>
          <t>Sonorisation</t>
        </is>
      </c>
      <c r="C5" s="5" t="n">
        <v>3000</v>
      </c>
      <c r="D5" s="5" t="n"/>
      <c r="E5" s="5">
        <f>D5-C5</f>
        <v/>
      </c>
    </row>
    <row r="6">
      <c r="A6" s="15" t="n"/>
      <c r="B6" s="2" t="inlineStr">
        <is>
          <t>Éclairage / lumière</t>
        </is>
      </c>
      <c r="C6" s="5" t="n">
        <v>2000</v>
      </c>
      <c r="D6" s="5" t="n"/>
      <c r="E6" s="5">
        <f>D6-C6</f>
        <v/>
      </c>
    </row>
    <row r="7">
      <c r="A7" s="15" t="n"/>
      <c r="B7" s="2" t="inlineStr">
        <is>
          <t>Scène / podium</t>
        </is>
      </c>
      <c r="C7" s="5" t="n">
        <v>2000</v>
      </c>
      <c r="D7" s="5" t="n"/>
      <c r="E7" s="5">
        <f>D7-C7</f>
        <v/>
      </c>
    </row>
    <row r="8">
      <c r="A8" s="15" t="n"/>
      <c r="B8" s="2" t="inlineStr">
        <is>
          <t>Toilettes / sanitaires</t>
        </is>
      </c>
      <c r="C8" s="5" t="n">
        <v>1500</v>
      </c>
      <c r="D8" s="5" t="n"/>
      <c r="E8" s="5">
        <f>D8-C8</f>
        <v/>
      </c>
    </row>
    <row r="9">
      <c r="A9" s="15" t="n"/>
      <c r="B9" s="2" t="inlineStr">
        <is>
          <t>Électricité / groupe électrogène</t>
        </is>
      </c>
      <c r="C9" s="5" t="n">
        <v>1500</v>
      </c>
      <c r="D9" s="5" t="n"/>
      <c r="E9" s="5">
        <f>D9-C9</f>
        <v/>
      </c>
    </row>
    <row r="10">
      <c r="A10" s="15" t="n"/>
      <c r="B10" s="2" t="inlineStr">
        <is>
          <t>Barrières / sécurité</t>
        </is>
      </c>
      <c r="C10" s="5" t="n">
        <v>1000</v>
      </c>
      <c r="D10" s="5" t="n"/>
      <c r="E10" s="5">
        <f>D10-C10</f>
        <v/>
      </c>
    </row>
    <row r="11">
      <c r="A11" s="15" t="n"/>
      <c r="B11" s="2" t="inlineStr">
        <is>
          <t>Mobilier (tables, chaises, tentes)</t>
        </is>
      </c>
      <c r="C11" s="5" t="n">
        <v>1000</v>
      </c>
      <c r="D11" s="5" t="n"/>
      <c r="E11" s="5">
        <f>D11-C11</f>
        <v/>
      </c>
    </row>
    <row r="12">
      <c r="A12" s="15" t="n"/>
      <c r="B12" s="2" t="n"/>
      <c r="C12" s="5" t="n"/>
      <c r="D12" s="5" t="n"/>
      <c r="E12" s="5">
        <f>D12-C12</f>
        <v/>
      </c>
    </row>
    <row r="13">
      <c r="A13" s="15" t="n"/>
      <c r="B13" s="2" t="n"/>
      <c r="C13" s="5" t="n"/>
      <c r="D13" s="5" t="n"/>
      <c r="E13" s="5">
        <f>D13-C13</f>
        <v/>
      </c>
    </row>
    <row r="14">
      <c r="A14" s="15" t="n"/>
      <c r="B14" s="2" t="n"/>
      <c r="C14" s="5" t="n"/>
      <c r="D14" s="5" t="n"/>
      <c r="E14" s="5">
        <f>D14-C14</f>
        <v/>
      </c>
    </row>
    <row r="15">
      <c r="A15" s="15" t="n"/>
      <c r="B15" s="2" t="n"/>
      <c r="C15" s="5" t="n"/>
      <c r="D15" s="5" t="n"/>
      <c r="E15" s="5">
        <f>D15-C15</f>
        <v/>
      </c>
    </row>
    <row r="16">
      <c r="A16" s="15" t="n"/>
      <c r="B16" s="2" t="n"/>
      <c r="C16" s="5" t="n"/>
      <c r="D16" s="5" t="n"/>
      <c r="E16" s="5">
        <f>D16-C16</f>
        <v/>
      </c>
    </row>
    <row r="18">
      <c r="A18" s="6" t="inlineStr">
        <is>
          <t>TOTAL LOGISTIQUE</t>
        </is>
      </c>
      <c r="B18" s="6" t="n"/>
      <c r="C18" s="7">
        <f>SUM(C4:C16)</f>
        <v/>
      </c>
      <c r="D18" s="7">
        <f>SUM(D4:D16)</f>
        <v/>
      </c>
      <c r="E18" s="7">
        <f>SUM(E4:E16)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:F1"/>
    </sheetView>
  </sheetViews>
  <sheetFormatPr baseColWidth="10" defaultColWidth="8.88671875" defaultRowHeight="14.4"/>
  <cols>
    <col width="35" customWidth="1" style="18" min="1" max="2"/>
    <col width="11" customWidth="1" style="18" min="3" max="3"/>
    <col width="17" customWidth="1" style="18" min="4" max="6"/>
  </cols>
  <sheetData>
    <row r="1" ht="15.6" customHeight="1" s="18">
      <c r="A1" s="17" t="inlineStr">
        <is>
          <t>FRAIS DIVERS — Recettes &amp; Dépenses</t>
        </is>
      </c>
    </row>
    <row r="3" ht="15.6" customHeight="1" s="18">
      <c r="A3" s="17" t="inlineStr">
        <is>
          <t>Recettes (subventions, dons, sponsors)</t>
        </is>
      </c>
    </row>
    <row r="5">
      <c r="A5" s="1" t="inlineStr">
        <is>
          <t>Date</t>
        </is>
      </c>
      <c r="B5" s="1" t="inlineStr">
        <is>
          <t>Description</t>
        </is>
      </c>
      <c r="C5" s="1" t="inlineStr">
        <is>
          <t>Type</t>
        </is>
      </c>
      <c r="D5" s="1" t="inlineStr">
        <is>
          <t>Prévu</t>
        </is>
      </c>
      <c r="E5" s="1" t="inlineStr">
        <is>
          <t>Réel</t>
        </is>
      </c>
      <c r="F5" s="1" t="inlineStr">
        <is>
          <t>Écart</t>
        </is>
      </c>
    </row>
    <row r="6">
      <c r="A6" s="15" t="n"/>
      <c r="B6" s="2" t="n"/>
      <c r="C6" s="2" t="n"/>
      <c r="D6" s="5" t="n"/>
      <c r="E6" s="5" t="n"/>
      <c r="F6" s="5">
        <f>E6-D6</f>
        <v/>
      </c>
    </row>
    <row r="7">
      <c r="A7" s="15" t="n"/>
      <c r="B7" s="2" t="n"/>
      <c r="C7" s="2" t="n"/>
      <c r="D7" s="5" t="n"/>
      <c r="E7" s="5" t="n"/>
      <c r="F7" s="5">
        <f>E7-D7</f>
        <v/>
      </c>
    </row>
    <row r="8">
      <c r="A8" s="15" t="n"/>
      <c r="B8" s="2" t="n"/>
      <c r="C8" s="2" t="n"/>
      <c r="D8" s="5" t="n"/>
      <c r="E8" s="5" t="n"/>
      <c r="F8" s="5">
        <f>E8-D8</f>
        <v/>
      </c>
    </row>
    <row r="9">
      <c r="A9" s="15" t="n"/>
      <c r="B9" s="2" t="n"/>
      <c r="C9" s="2" t="n"/>
      <c r="D9" s="5" t="n"/>
      <c r="E9" s="5" t="n"/>
      <c r="F9" s="5">
        <f>E9-D9</f>
        <v/>
      </c>
    </row>
    <row r="10">
      <c r="A10" s="15" t="n"/>
      <c r="B10" s="2" t="n"/>
      <c r="C10" s="2" t="n"/>
      <c r="D10" s="5" t="n"/>
      <c r="E10" s="5" t="n"/>
      <c r="F10" s="5">
        <f>E10-D10</f>
        <v/>
      </c>
    </row>
    <row r="12">
      <c r="A12" s="6" t="inlineStr">
        <is>
          <t>TOTAL RECETTES DIVERS</t>
        </is>
      </c>
      <c r="B12" s="6" t="n"/>
      <c r="C12" s="6" t="n"/>
      <c r="D12" s="7">
        <f>SUM(D6:D10)</f>
        <v/>
      </c>
      <c r="E12" s="7">
        <f>SUM(E6:E10)</f>
        <v/>
      </c>
      <c r="F12" s="7">
        <f>SUM(F6:F10)</f>
        <v/>
      </c>
    </row>
    <row r="14" ht="15.6" customHeight="1" s="18">
      <c r="A14" s="17" t="inlineStr">
        <is>
          <t>Dépenses (SACEM, communication, assurance, admin, imprévus)</t>
        </is>
      </c>
    </row>
    <row r="16">
      <c r="A16" s="1" t="inlineStr">
        <is>
          <t>Date</t>
        </is>
      </c>
      <c r="B16" s="1" t="inlineStr">
        <is>
          <t>Description</t>
        </is>
      </c>
      <c r="C16" s="1" t="inlineStr">
        <is>
          <t>Type</t>
        </is>
      </c>
      <c r="D16" s="1" t="inlineStr">
        <is>
          <t>Prévu</t>
        </is>
      </c>
      <c r="E16" s="1" t="inlineStr">
        <is>
          <t>Réel</t>
        </is>
      </c>
      <c r="F16" s="1" t="inlineStr">
        <is>
          <t>Écart</t>
        </is>
      </c>
    </row>
    <row r="17">
      <c r="A17" s="15" t="n"/>
      <c r="B17" s="2" t="inlineStr">
        <is>
          <t>SACEM Billetterie (8,8%)</t>
        </is>
      </c>
      <c r="C17" s="2" t="inlineStr">
        <is>
          <t>Dépense</t>
        </is>
      </c>
      <c r="D17" s="5" t="n">
        <v>1993</v>
      </c>
      <c r="E17" s="5" t="n"/>
      <c r="F17" s="5">
        <f>E17-D17</f>
        <v/>
      </c>
    </row>
    <row r="18">
      <c r="A18" s="15" t="n"/>
      <c r="B18" s="2" t="inlineStr">
        <is>
          <t>SACEM Restauration/Buvettes (4,4%)</t>
        </is>
      </c>
      <c r="C18" s="2" t="inlineStr">
        <is>
          <t>Dépense</t>
        </is>
      </c>
      <c r="D18" s="5" t="n">
        <v>1427</v>
      </c>
      <c r="E18" s="5" t="n"/>
      <c r="F18" s="5">
        <f>E18-D18</f>
        <v/>
      </c>
    </row>
    <row r="19">
      <c r="A19" s="15" t="n"/>
      <c r="B19" s="2" t="inlineStr">
        <is>
          <t>Assurance événement</t>
        </is>
      </c>
      <c r="C19" s="2" t="inlineStr">
        <is>
          <t>Dépense</t>
        </is>
      </c>
      <c r="D19" s="5" t="n">
        <v>1000</v>
      </c>
      <c r="E19" s="5" t="n"/>
      <c r="F19" s="5">
        <f>E19-D19</f>
        <v/>
      </c>
    </row>
    <row r="20">
      <c r="A20" s="15" t="n"/>
      <c r="B20" s="2" t="inlineStr">
        <is>
          <t>Communication (affiches, flyers, vidéo)</t>
        </is>
      </c>
      <c r="C20" s="2" t="inlineStr">
        <is>
          <t>Dépense</t>
        </is>
      </c>
      <c r="D20" s="5" t="n">
        <v>1000</v>
      </c>
      <c r="E20" s="5" t="n"/>
      <c r="F20" s="5">
        <f>E20-D20</f>
        <v/>
      </c>
    </row>
    <row r="21">
      <c r="A21" s="15" t="n"/>
      <c r="B21" s="2" t="inlineStr">
        <is>
          <t>Frais administratifs</t>
        </is>
      </c>
      <c r="C21" s="2" t="inlineStr">
        <is>
          <t>Dépense</t>
        </is>
      </c>
      <c r="D21" s="5" t="n">
        <v>500</v>
      </c>
      <c r="E21" s="5" t="n"/>
      <c r="F21" s="5">
        <f>E21-D21</f>
        <v/>
      </c>
    </row>
    <row r="22">
      <c r="A22" s="15" t="n"/>
      <c r="B22" s="2" t="inlineStr">
        <is>
          <t>Imprévus</t>
        </is>
      </c>
      <c r="C22" s="2" t="inlineStr">
        <is>
          <t>Dépense</t>
        </is>
      </c>
      <c r="D22" s="5" t="n">
        <v>500</v>
      </c>
      <c r="E22" s="5" t="n"/>
      <c r="F22" s="5">
        <f>E22-D22</f>
        <v/>
      </c>
    </row>
    <row r="23">
      <c r="A23" s="15" t="n"/>
      <c r="B23" s="2" t="n"/>
      <c r="C23" s="2" t="n"/>
      <c r="D23" s="5" t="n"/>
      <c r="E23" s="5" t="n"/>
      <c r="F23" s="5">
        <f>E23-D23</f>
        <v/>
      </c>
    </row>
    <row r="24">
      <c r="A24" s="15" t="n"/>
      <c r="B24" s="2" t="n"/>
      <c r="C24" s="2" t="n"/>
      <c r="D24" s="5" t="n"/>
      <c r="E24" s="5" t="n"/>
      <c r="F24" s="5">
        <f>E24-D24</f>
        <v/>
      </c>
    </row>
    <row r="25">
      <c r="A25" s="15" t="n"/>
      <c r="B25" s="2" t="n"/>
      <c r="C25" s="2" t="n"/>
      <c r="D25" s="5" t="n"/>
      <c r="E25" s="5" t="n"/>
      <c r="F25" s="5">
        <f>E25-D25</f>
        <v/>
      </c>
    </row>
    <row r="26">
      <c r="A26" s="15" t="n"/>
      <c r="B26" s="2" t="n"/>
      <c r="C26" s="2" t="n"/>
      <c r="D26" s="5" t="n"/>
      <c r="E26" s="5" t="n"/>
      <c r="F26" s="5">
        <f>E26-D26</f>
        <v/>
      </c>
    </row>
    <row r="27">
      <c r="A27" s="15" t="n"/>
      <c r="B27" s="2" t="n"/>
      <c r="C27" s="2" t="n"/>
      <c r="D27" s="5" t="n"/>
      <c r="E27" s="5" t="n"/>
      <c r="F27" s="5">
        <f>E27-D27</f>
        <v/>
      </c>
    </row>
    <row r="29">
      <c r="A29" s="6" t="inlineStr">
        <is>
          <t>TOTAL DÉPENSES DIVERS</t>
        </is>
      </c>
      <c r="B29" s="6" t="n"/>
      <c r="C29" s="6" t="n"/>
      <c r="D29" s="7">
        <f>SUM(D17:D27)</f>
        <v/>
      </c>
      <c r="E29" s="7">
        <f>SUM(E17:E27)</f>
        <v/>
      </c>
      <c r="F29" s="7">
        <f>SUM(F17:F27)</f>
        <v/>
      </c>
    </row>
  </sheetData>
  <mergeCells count="3">
    <mergeCell ref="A3:F3"/>
    <mergeCell ref="A14:F1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:F1"/>
    </sheetView>
  </sheetViews>
  <sheetFormatPr baseColWidth="10" defaultColWidth="8.88671875" defaultRowHeight="14.4"/>
  <cols>
    <col width="30" customWidth="1" style="18" min="1" max="1"/>
    <col width="13" customWidth="1" style="18" min="2" max="2"/>
    <col width="15" customWidth="1" style="18" min="3" max="3"/>
    <col width="16" customWidth="1" style="18" min="4" max="6"/>
  </cols>
  <sheetData>
    <row r="1" ht="15.6" customHeight="1" s="18">
      <c r="A1" s="17" t="inlineStr">
        <is>
          <t>TRÉSORERIE — Flux par date</t>
        </is>
      </c>
    </row>
    <row r="3">
      <c r="A3" s="6" t="inlineStr">
        <is>
          <t>Solde initial</t>
        </is>
      </c>
      <c r="B3" s="6" t="n"/>
      <c r="C3" s="6" t="n"/>
      <c r="D3" s="7" t="n">
        <v>0</v>
      </c>
      <c r="E3" s="6" t="n"/>
      <c r="F3" s="7" t="n">
        <v>0</v>
      </c>
    </row>
    <row r="4">
      <c r="A4" s="22" t="inlineStr">
        <is>
          <t>23/04/2026</t>
        </is>
      </c>
      <c r="B4" s="22" t="inlineStr">
        <is>
          <t>Crowdfunding HelloAsso</t>
        </is>
      </c>
      <c r="C4" s="22" t="inlineStr">
        <is>
          <t>Cumul dons collectés au 23/04 (14 dons)</t>
        </is>
      </c>
      <c r="D4" s="22" t="n">
        <v>845</v>
      </c>
      <c r="E4" s="22" t="inlineStr"/>
      <c r="F4" s="22">
        <f>D2+D4-E4</f>
        <v/>
      </c>
    </row>
    <row r="5">
      <c r="A5" s="22" t="inlineStr">
        <is>
          <t>20/04/2026</t>
        </is>
      </c>
      <c r="B5" s="22" t="inlineStr">
        <is>
          <t>Don manuel Charles</t>
        </is>
      </c>
      <c r="C5" s="22" t="inlineStr">
        <is>
          <t>Don manuel par virement Qonto</t>
        </is>
      </c>
      <c r="D5" s="22" t="n">
        <v>1000</v>
      </c>
      <c r="E5" s="22" t="inlineStr"/>
      <c r="F5" s="22">
        <f>F4+D5-E5</f>
        <v/>
      </c>
    </row>
    <row r="6">
      <c r="A6" s="22" t="inlineStr">
        <is>
          <t>Avr-Mai 2026</t>
        </is>
      </c>
      <c r="B6" s="22" t="inlineStr">
        <is>
          <t>Frais divers</t>
        </is>
      </c>
      <c r="C6" s="22" t="inlineStr">
        <is>
          <t>Petites dépenses opérationnelles (cumul estimation)</t>
        </is>
      </c>
      <c r="D6" s="22" t="inlineStr"/>
      <c r="E6" s="22" t="n">
        <v>255</v>
      </c>
      <c r="F6" s="22">
        <f>F5+D6-E6</f>
        <v/>
      </c>
    </row>
    <row r="7">
      <c r="A7" s="22" t="inlineStr">
        <is>
          <t>01/05/2026</t>
        </is>
      </c>
      <c r="B7" s="22" t="inlineStr">
        <is>
          <t>Crowdfunding HelloAsso</t>
        </is>
      </c>
      <c r="C7" s="22" t="inlineStr">
        <is>
          <t>Cumul dons supplémentaires (23/04 → 01/05)</t>
        </is>
      </c>
      <c r="D7" s="22" t="n">
        <v>360</v>
      </c>
      <c r="E7" s="22" t="inlineStr"/>
      <c r="F7" s="22">
        <f>F6+D7-E7</f>
        <v/>
      </c>
    </row>
    <row r="8">
      <c r="A8" s="23" t="inlineStr">
        <is>
          <t>TOTAUX</t>
        </is>
      </c>
      <c r="B8" s="23" t="n"/>
      <c r="C8" s="23" t="n"/>
      <c r="D8" s="23">
        <f>SUM(D4:D7)</f>
        <v/>
      </c>
      <c r="E8" s="23">
        <f>SUM(E4:E7)</f>
        <v/>
      </c>
      <c r="F8" s="23">
        <f>F7</f>
        <v/>
      </c>
    </row>
    <row r="10">
      <c r="A10" s="24" t="inlineStr">
        <is>
          <t>SOLDE Qonto au 01/05/2026 (estimation)</t>
        </is>
      </c>
      <c r="F10" s="25">
        <f>F7</f>
        <v/>
      </c>
    </row>
  </sheetData>
  <mergeCells count="1">
    <mergeCell ref="A1:F1"/>
  </mergeCells>
  <dataValidations count="1">
    <dataValidation sqref="B5:B34" showDropDown="0" showInputMessage="0" showErrorMessage="0" allowBlank="0" error="Choisir une catégorie" type="list">
      <formula1>"Crowdfunding,Billetterie,F&amp;B,Ateliers,Artistes,Logistique,Frais divers"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2026-04-04T15:53:24Z</dcterms:created>
  <dcterms:modified xmlns:dcterms="http://purl.org/dc/terms/" xmlns:xsi="http://www.w3.org/2001/XMLSchema-instance" xsi:type="dcterms:W3CDTF">2026-05-03T13:41:31Z</dcterms:modified>
  <cp:lastModifiedBy>Charles JANIER DUBRY</cp:lastModifiedBy>
</cp:coreProperties>
</file>