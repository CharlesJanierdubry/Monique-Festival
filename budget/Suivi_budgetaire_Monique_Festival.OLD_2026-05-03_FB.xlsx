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40" yWindow="-19260" windowWidth="31095" windowHeight="18360" tabRatio="600" firstSheet="0" activeTab="5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Crowdfunding" sheetId="2" state="visible" r:id="rId2"/>
    <sheet xmlns:r="http://schemas.openxmlformats.org/officeDocument/2006/relationships" name="Billetterie" sheetId="3" state="visible" r:id="rId3"/>
    <sheet xmlns:r="http://schemas.openxmlformats.org/officeDocument/2006/relationships" name="F&amp;B" sheetId="4" state="visible" r:id="rId4"/>
    <sheet xmlns:r="http://schemas.openxmlformats.org/officeDocument/2006/relationships" name="Ateliers" sheetId="5" state="visible" r:id="rId5"/>
    <sheet xmlns:r="http://schemas.openxmlformats.org/officeDocument/2006/relationships" name="Artistes" sheetId="6" state="visible" r:id="rId6"/>
    <sheet xmlns:r="http://schemas.openxmlformats.org/officeDocument/2006/relationships" name="Logistique" sheetId="7" state="visible" r:id="rId7"/>
    <sheet xmlns:r="http://schemas.openxmlformats.org/officeDocument/2006/relationships" name="Frais divers" sheetId="8" state="visible" r:id="rId8"/>
    <sheet xmlns:r="http://schemas.openxmlformats.org/officeDocument/2006/relationships" name="Trésoreri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\€"/>
  </numFmts>
  <fonts count="10">
    <font>
      <name val="Calibri"/>
      <family val="2"/>
      <color theme="1"/>
      <sz val="11"/>
      <scheme val="minor"/>
    </font>
    <font>
      <name val="Calibri"/>
      <b val="1"/>
      <color rgb="FF2F5496"/>
      <sz val="12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b val="1"/>
    </font>
    <font>
      <b val="1"/>
      <color rgb="001F4E78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5" borderId="1" pivotButton="0" quotePrefix="0" xfId="0"/>
    <xf numFmtId="0" fontId="3" fillId="0" borderId="1" pivotButton="0" quotePrefix="0" xfId="0"/>
    <xf numFmtId="164" fontId="3" fillId="0" borderId="1" pivotButton="0" quotePrefix="0" xfId="0"/>
    <xf numFmtId="164" fontId="3" fillId="4" borderId="1" pivotButton="0" quotePrefix="0" xfId="0"/>
    <xf numFmtId="164" fontId="4" fillId="4" borderId="1" pivotButton="0" quotePrefix="0" xfId="0"/>
    <xf numFmtId="14" fontId="0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3" borderId="1" pivotButton="0" quotePrefix="0" xfId="0"/>
    <xf numFmtId="164" fontId="6" fillId="3" borderId="1" pivotButton="0" quotePrefix="0" xfId="0"/>
    <xf numFmtId="0" fontId="0" fillId="0" borderId="2" pivotButton="0" quotePrefix="0" xfId="0"/>
    <xf numFmtId="0" fontId="7" fillId="6" borderId="2" pivotButton="0" quotePrefix="0" xfId="0"/>
    <xf numFmtId="0" fontId="8" fillId="0" borderId="0" pivotButton="0" quotePrefix="0" xfId="0"/>
    <xf numFmtId="0" fontId="9" fillId="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E5" sqref="E5"/>
    </sheetView>
  </sheetViews>
  <sheetFormatPr baseColWidth="10" defaultColWidth="8.88671875" defaultRowHeight="14.4"/>
  <cols>
    <col width="35" customWidth="1" style="18" min="1" max="1"/>
    <col width="23" customWidth="1" style="18" min="2" max="3"/>
    <col width="18" customWidth="1" style="18" min="4" max="4"/>
    <col width="30" customWidth="1" style="18" min="5" max="6"/>
    <col width="18" customWidth="1" style="18" min="7" max="7"/>
    <col width="16" customWidth="1" style="18" min="8" max="10"/>
  </cols>
  <sheetData>
    <row r="1" ht="15.6" customHeight="1" s="18">
      <c r="A1" s="17" t="inlineStr">
        <is>
          <t>SYNTHÈSE BUDGÉTAIRE — Monique Festival</t>
        </is>
      </c>
    </row>
    <row r="3">
      <c r="A3" s="1" t="inlineStr">
        <is>
          <t>Catégorie</t>
        </is>
      </c>
      <c r="B3" s="1" t="inlineStr">
        <is>
          <t>Recettes prévues</t>
        </is>
      </c>
      <c r="C3" s="1" t="inlineStr">
        <is>
          <t>Recettes réelles</t>
        </is>
      </c>
      <c r="D3" s="1" t="inlineStr">
        <is>
          <t>Écart recettes</t>
        </is>
      </c>
      <c r="E3" s="1" t="inlineStr">
        <is>
          <t>Dépenses prévues</t>
        </is>
      </c>
      <c r="F3" s="1" t="inlineStr">
        <is>
          <t>Dépenses réelles</t>
        </is>
      </c>
      <c r="G3" s="1" t="inlineStr">
        <is>
          <t>Écart dépenses</t>
        </is>
      </c>
      <c r="H3" s="1" t="inlineStr">
        <is>
          <t>Marge prévue</t>
        </is>
      </c>
      <c r="I3" s="1" t="inlineStr">
        <is>
          <t>Marge réelle</t>
        </is>
      </c>
      <c r="J3" s="1" t="inlineStr">
        <is>
          <t>Écart marge</t>
        </is>
      </c>
    </row>
    <row r="4">
      <c r="A4" s="2" t="inlineStr">
        <is>
          <t>Crowdfunding</t>
        </is>
      </c>
      <c r="B4" s="3">
        <f>Crowdfunding!C16</f>
        <v/>
      </c>
      <c r="C4" s="3">
        <f>Crowdfunding!D16</f>
        <v/>
      </c>
      <c r="D4" s="3">
        <f>C4-B4</f>
        <v/>
      </c>
      <c r="E4" s="4" t="n">
        <v>0</v>
      </c>
      <c r="F4" s="4" t="n">
        <v>0</v>
      </c>
      <c r="G4" s="4">
        <f>F4-E4</f>
        <v/>
      </c>
      <c r="H4" s="5">
        <f>B4-E4</f>
        <v/>
      </c>
      <c r="I4" s="5">
        <f>C4-F4</f>
        <v/>
      </c>
      <c r="J4" s="5">
        <f>I4-H4</f>
        <v/>
      </c>
    </row>
    <row r="5">
      <c r="A5" s="2" t="inlineStr">
        <is>
          <t>Billetterie + Artistes</t>
        </is>
      </c>
      <c r="B5" s="3">
        <f>Billetterie!D10</f>
        <v/>
      </c>
      <c r="C5" s="3">
        <f>Billetterie!F10</f>
        <v/>
      </c>
      <c r="D5" s="3">
        <f>C5-B5</f>
        <v/>
      </c>
      <c r="E5" s="4">
        <f>Artistes!F36+Artistes!G36+Artistes!H36</f>
        <v/>
      </c>
      <c r="F5" s="4">
        <f>Artistes!J36+Artistes!K36</f>
        <v/>
      </c>
      <c r="G5" s="4">
        <f>F5-E5</f>
        <v/>
      </c>
      <c r="H5" s="5">
        <f>B5-E5</f>
        <v/>
      </c>
      <c r="I5" s="5">
        <f>C5-F5</f>
        <v/>
      </c>
      <c r="J5" s="5">
        <f>I5-H5</f>
        <v/>
      </c>
    </row>
    <row r="6">
      <c r="A6" s="2" t="inlineStr">
        <is>
          <t>F&amp;B (Buvettes + Restauration)</t>
        </is>
      </c>
      <c r="B6" s="3">
        <f>'F&amp;B'!D13</f>
        <v/>
      </c>
      <c r="C6" s="3">
        <f>'F&amp;B'!E13</f>
        <v/>
      </c>
      <c r="D6" s="3">
        <f>C6-B6</f>
        <v/>
      </c>
      <c r="E6" s="4">
        <f>'F&amp;B'!D27</f>
        <v/>
      </c>
      <c r="F6" s="4">
        <f>'F&amp;B'!E27</f>
        <v/>
      </c>
      <c r="G6" s="4">
        <f>F6-E6</f>
        <v/>
      </c>
      <c r="H6" s="5">
        <f>B6-E6</f>
        <v/>
      </c>
      <c r="I6" s="5">
        <f>C6-F6</f>
        <v/>
      </c>
      <c r="J6" s="5">
        <f>I6-H6</f>
        <v/>
      </c>
    </row>
    <row r="7">
      <c r="A7" s="2" t="inlineStr">
        <is>
          <t>Ateliers (recettes + coûts ateliers)</t>
        </is>
      </c>
      <c r="B7" s="3">
        <f>Ateliers!D14</f>
        <v/>
      </c>
      <c r="C7" s="3">
        <f>Ateliers!E14</f>
        <v/>
      </c>
      <c r="D7" s="3">
        <f>C7-B7</f>
        <v/>
      </c>
      <c r="E7" s="4">
        <f>Ateliers!D27</f>
        <v/>
      </c>
      <c r="F7" s="4">
        <f>Ateliers!E27</f>
        <v/>
      </c>
      <c r="G7" s="4">
        <f>F7-E7</f>
        <v/>
      </c>
      <c r="H7" s="5">
        <f>B7-E7</f>
        <v/>
      </c>
      <c r="I7" s="5">
        <f>C7-F7</f>
        <v/>
      </c>
      <c r="J7" s="5">
        <f>I7-H7</f>
        <v/>
      </c>
    </row>
    <row r="8">
      <c r="A8" s="2" t="inlineStr">
        <is>
          <t>Logistique</t>
        </is>
      </c>
      <c r="B8" s="3" t="n">
        <v>0</v>
      </c>
      <c r="C8" s="3" t="n">
        <v>0</v>
      </c>
      <c r="D8" s="3">
        <f>C8-B8</f>
        <v/>
      </c>
      <c r="E8" s="4">
        <f>Logistique!C18</f>
        <v/>
      </c>
      <c r="F8" s="4">
        <f>Logistique!D18</f>
        <v/>
      </c>
      <c r="G8" s="4">
        <f>F8-E8</f>
        <v/>
      </c>
      <c r="H8" s="5">
        <f>B8-E8</f>
        <v/>
      </c>
      <c r="I8" s="5">
        <f>C8-F8</f>
        <v/>
      </c>
      <c r="J8" s="5">
        <f>I8-H8</f>
        <v/>
      </c>
    </row>
    <row r="9">
      <c r="A9" s="2" t="inlineStr">
        <is>
          <t>Frais divers</t>
        </is>
      </c>
      <c r="B9" s="3">
        <f>'Frais divers'!D12</f>
        <v/>
      </c>
      <c r="C9" s="3">
        <f>'Frais divers'!E12</f>
        <v/>
      </c>
      <c r="D9" s="3">
        <f>C9-B9</f>
        <v/>
      </c>
      <c r="E9" s="4">
        <f>'Frais divers'!D29</f>
        <v/>
      </c>
      <c r="F9" s="4">
        <f>'Frais divers'!E29</f>
        <v/>
      </c>
      <c r="G9" s="4">
        <f>F9-E9</f>
        <v/>
      </c>
      <c r="H9" s="5">
        <f>B9-E9</f>
        <v/>
      </c>
      <c r="I9" s="5">
        <f>C9-F9</f>
        <v/>
      </c>
      <c r="J9" s="5">
        <f>I9-H9</f>
        <v/>
      </c>
    </row>
    <row r="11">
      <c r="A11" s="2" t="inlineStr">
        <is>
          <t>(ajustement défraiement supprimé : 150€ moyen intégré directement)</t>
        </is>
      </c>
      <c r="B11" s="5" t="n"/>
      <c r="C11" s="5" t="n"/>
      <c r="D11" s="5" t="n"/>
      <c r="E11" s="5" t="n">
        <v>0</v>
      </c>
      <c r="F11" s="5" t="n"/>
      <c r="G11" s="5" t="n"/>
      <c r="H11" s="5" t="n"/>
      <c r="I11" s="5" t="n"/>
      <c r="J11" s="5" t="n"/>
    </row>
    <row r="12">
      <c r="A12" s="6" t="inlineStr">
        <is>
          <t>TOTAL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SUM(H4:H11)</f>
        <v/>
      </c>
      <c r="I12" s="7">
        <f>SUM(I4:I11)</f>
        <v/>
      </c>
      <c r="J12" s="7">
        <f>SUM(J4:J11)</f>
        <v/>
      </c>
    </row>
    <row r="15" ht="15.6" customHeight="1" s="18">
      <c r="A15" s="17" t="inlineStr">
        <is>
          <t>SCÉNARIOS PAR JAUGE</t>
        </is>
      </c>
    </row>
    <row r="17">
      <c r="A17" s="1" t="inlineStr">
        <is>
          <t>Scénario</t>
        </is>
      </c>
      <c r="B17" s="1" t="inlineStr">
        <is>
          <t>Recettes</t>
        </is>
      </c>
      <c r="C17" s="1" t="inlineStr">
        <is>
          <t>Coûts</t>
        </is>
      </c>
      <c r="D17" s="1" t="inlineStr">
        <is>
          <t>Marge</t>
        </is>
      </c>
      <c r="E17" s="1" t="inlineStr">
        <is>
          <t>Jauge</t>
        </is>
      </c>
      <c r="F17" s="1" t="inlineStr">
        <is>
          <t>Nb festivaliers</t>
        </is>
      </c>
    </row>
    <row r="18">
      <c r="A18" s="8" t="inlineStr">
        <is>
          <t>Jauge -20%</t>
        </is>
      </c>
      <c r="B18" s="9" t="n">
        <v>47464</v>
      </c>
      <c r="C18" s="9" t="n">
        <v>47767</v>
      </c>
      <c r="D18" s="10" t="n">
        <v>-303</v>
      </c>
      <c r="E18" s="8" t="inlineStr">
        <is>
          <t>960</t>
        </is>
      </c>
      <c r="F18" s="8" t="n">
        <v>960</v>
      </c>
    </row>
    <row r="19">
      <c r="A19" s="11" t="inlineStr">
        <is>
          <t>Jauge standard</t>
        </is>
      </c>
      <c r="B19" s="12" t="n">
        <v>58482</v>
      </c>
      <c r="C19" s="12" t="n">
        <v>49907</v>
      </c>
      <c r="D19" s="13" t="n">
        <v>8575</v>
      </c>
      <c r="E19" s="11" t="inlineStr">
        <is>
          <t>1 200</t>
        </is>
      </c>
      <c r="F19" s="11" t="n">
        <v>1200</v>
      </c>
    </row>
    <row r="20">
      <c r="A20" s="8" t="inlineStr">
        <is>
          <t>Jauge +20%</t>
        </is>
      </c>
      <c r="B20" s="9" t="n">
        <v>69500</v>
      </c>
      <c r="C20" s="9" t="n">
        <v>52048</v>
      </c>
      <c r="D20" s="14" t="n">
        <v>17453</v>
      </c>
      <c r="E20" s="8" t="inlineStr">
        <is>
          <t>1 440</t>
        </is>
      </c>
      <c r="F20" s="8" t="n">
        <v>1440</v>
      </c>
    </row>
  </sheetData>
  <mergeCells count="2">
    <mergeCell ref="A1:J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10" defaultColWidth="8.88671875" defaultRowHeight="14.4"/>
  <cols>
    <col width="35" customWidth="1" style="18" min="1" max="2"/>
    <col width="16" customWidth="1" style="18" min="3" max="5"/>
  </cols>
  <sheetData>
    <row r="1" ht="15.6" customHeight="1" s="18">
      <c r="A1" s="17" t="inlineStr">
        <is>
          <t>CROWDFUNDING — Recettes HelloAsso</t>
        </is>
      </c>
    </row>
    <row r="3">
      <c r="A3" s="1" t="inlineStr">
        <is>
          <t>Date</t>
        </is>
      </c>
      <c r="B3" s="1" t="inlineStr">
        <is>
          <t>Description</t>
        </is>
      </c>
      <c r="C3" s="1" t="inlineStr">
        <is>
          <t>Prévu</t>
        </is>
      </c>
      <c r="D3" s="1" t="inlineStr">
        <is>
          <t>Réel</t>
        </is>
      </c>
      <c r="E3" s="1" t="inlineStr">
        <is>
          <t>Écart</t>
        </is>
      </c>
    </row>
    <row r="4">
      <c r="A4" s="15" t="n"/>
      <c r="B4" s="2" t="inlineStr">
        <is>
          <t>Objectif crowdfunding (palier 3)</t>
        </is>
      </c>
      <c r="C4" s="5" t="n">
        <v>8000</v>
      </c>
      <c r="D4" s="5" t="n"/>
      <c r="E4" s="5">
        <f>D4-C4</f>
        <v/>
      </c>
    </row>
    <row r="5">
      <c r="A5" s="15" t="n"/>
      <c r="B5" s="2" t="n"/>
      <c r="C5" s="5" t="n"/>
      <c r="D5" s="5" t="n"/>
      <c r="E5" s="5">
        <f>D5-C5</f>
        <v/>
      </c>
    </row>
    <row r="6">
      <c r="A6" s="15" t="n"/>
      <c r="B6" s="2" t="n"/>
      <c r="C6" s="5" t="n"/>
      <c r="D6" s="5" t="n"/>
      <c r="E6" s="5">
        <f>D6-C6</f>
        <v/>
      </c>
    </row>
    <row r="7">
      <c r="A7" s="15" t="n"/>
      <c r="B7" s="2" t="n"/>
      <c r="C7" s="5" t="n"/>
      <c r="D7" s="5" t="n"/>
      <c r="E7" s="5">
        <f>D7-C7</f>
        <v/>
      </c>
    </row>
    <row r="8">
      <c r="A8" s="15" t="n"/>
      <c r="B8" s="2" t="n"/>
      <c r="C8" s="5" t="n"/>
      <c r="D8" s="5" t="n"/>
      <c r="E8" s="5">
        <f>D8-C8</f>
        <v/>
      </c>
    </row>
    <row r="9">
      <c r="A9" s="15" t="n"/>
      <c r="B9" s="2" t="n"/>
      <c r="C9" s="5" t="n"/>
      <c r="D9" s="5" t="n"/>
      <c r="E9" s="5">
        <f>D9-C9</f>
        <v/>
      </c>
    </row>
    <row r="10">
      <c r="A10" s="15" t="n"/>
      <c r="B10" s="2" t="n"/>
      <c r="C10" s="5" t="n"/>
      <c r="D10" s="5" t="n"/>
      <c r="E10" s="5">
        <f>D10-C10</f>
        <v/>
      </c>
    </row>
    <row r="11">
      <c r="A11" s="15" t="n"/>
      <c r="B11" s="2" t="n"/>
      <c r="C11" s="5" t="n"/>
      <c r="D11" s="5" t="n"/>
      <c r="E11" s="5">
        <f>D11-C11</f>
        <v/>
      </c>
    </row>
    <row r="12">
      <c r="A12" s="15" t="n"/>
      <c r="B12" s="2" t="n"/>
      <c r="C12" s="5" t="n"/>
      <c r="D12" s="5" t="n"/>
      <c r="E12" s="5">
        <f>D12-C12</f>
        <v/>
      </c>
    </row>
    <row r="13">
      <c r="A13" s="15" t="n"/>
      <c r="B13" s="2" t="n"/>
      <c r="C13" s="5" t="n"/>
      <c r="D13" s="5" t="n"/>
      <c r="E13" s="5">
        <f>D13-C13</f>
        <v/>
      </c>
    </row>
    <row r="14">
      <c r="A14" s="15" t="n"/>
      <c r="B14" s="2" t="n"/>
      <c r="C14" s="5" t="n"/>
      <c r="D14" s="5" t="n"/>
      <c r="E14" s="5">
        <f>D14-C14</f>
        <v/>
      </c>
    </row>
    <row r="16">
      <c r="A16" s="6" t="inlineStr">
        <is>
          <t>TOTAL CROWDFUNDING</t>
        </is>
      </c>
      <c r="B16" s="6" t="n"/>
      <c r="C16" s="7">
        <f>SUM(C4:C14)</f>
        <v/>
      </c>
      <c r="D16" s="7">
        <f>SUM(D4:D14)</f>
        <v/>
      </c>
      <c r="E16" s="7">
        <f>SUM(E4:E14)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:G1"/>
    </sheetView>
  </sheetViews>
  <sheetFormatPr baseColWidth="10" defaultColWidth="8.88671875" defaultRowHeight="14.4"/>
  <cols>
    <col width="27" customWidth="1" style="18" min="1" max="1"/>
    <col width="9" customWidth="1" style="18" min="2" max="2"/>
    <col width="15" customWidth="1" style="18" min="3" max="3"/>
    <col width="20" customWidth="1" style="18" min="4" max="4"/>
    <col width="15" customWidth="1" style="18" min="5" max="5"/>
    <col width="20" customWidth="1" style="18" min="6" max="6"/>
    <col width="15" customWidth="1" style="18" min="7" max="7"/>
  </cols>
  <sheetData>
    <row r="1" ht="15.6" customHeight="1" s="18">
      <c r="A1" s="17" t="inlineStr">
        <is>
          <t>BILLETTERIE — Recettes</t>
        </is>
      </c>
    </row>
    <row r="3">
      <c r="A3" s="1" t="inlineStr">
        <is>
          <t>Type</t>
        </is>
      </c>
      <c r="B3" s="1" t="inlineStr">
        <is>
          <t>Tarif</t>
        </is>
      </c>
      <c r="C3" s="1" t="inlineStr">
        <is>
          <t>Nb prévu</t>
        </is>
      </c>
      <c r="D3" s="1" t="inlineStr">
        <is>
          <t>Recettes prévues</t>
        </is>
      </c>
      <c r="E3" s="1" t="inlineStr">
        <is>
          <t>Nb réel</t>
        </is>
      </c>
      <c r="F3" s="1" t="inlineStr">
        <is>
          <t>Recettes réelles</t>
        </is>
      </c>
      <c r="G3" s="1" t="inlineStr">
        <is>
          <t>Écart</t>
        </is>
      </c>
    </row>
    <row r="4">
      <c r="A4" s="2" t="inlineStr">
        <is>
          <t>Early bird pass 3 jours</t>
        </is>
      </c>
      <c r="B4" s="5" t="n">
        <v>20</v>
      </c>
      <c r="C4" s="2" t="n">
        <v>120</v>
      </c>
      <c r="D4" s="5">
        <f>B4*C4</f>
        <v/>
      </c>
      <c r="E4" s="2" t="n"/>
      <c r="F4" s="5">
        <f>B4*E4</f>
        <v/>
      </c>
      <c r="G4" s="5">
        <f>F4-D4</f>
        <v/>
      </c>
    </row>
    <row r="5">
      <c r="A5" s="2" t="inlineStr">
        <is>
          <t>Pass 3 jours</t>
        </is>
      </c>
      <c r="B5" s="5" t="n">
        <v>25</v>
      </c>
      <c r="C5" s="2" t="n">
        <v>480</v>
      </c>
      <c r="D5" s="5">
        <f>B5*C5</f>
        <v/>
      </c>
      <c r="E5" s="2" t="n"/>
      <c r="F5" s="5">
        <f>B5*E5</f>
        <v/>
      </c>
      <c r="G5" s="5">
        <f>F5-D5</f>
        <v/>
      </c>
    </row>
    <row r="6">
      <c r="A6" s="2" t="inlineStr">
        <is>
          <t>Vendredi</t>
        </is>
      </c>
      <c r="B6" s="5" t="n">
        <v>10</v>
      </c>
      <c r="C6" s="2" t="n">
        <v>150</v>
      </c>
      <c r="D6" s="5">
        <f>B6*C6</f>
        <v/>
      </c>
      <c r="E6" s="2" t="n"/>
      <c r="F6" s="5">
        <f>B6*E6</f>
        <v/>
      </c>
      <c r="G6" s="5">
        <f>F6-D6</f>
        <v/>
      </c>
    </row>
    <row r="7">
      <c r="A7" s="2" t="inlineStr">
        <is>
          <t>Samedi</t>
        </is>
      </c>
      <c r="B7" s="5" t="n">
        <v>15</v>
      </c>
      <c r="C7" s="2" t="n">
        <v>300</v>
      </c>
      <c r="D7" s="5">
        <f>B7*C7</f>
        <v/>
      </c>
      <c r="E7" s="2" t="n"/>
      <c r="F7" s="5">
        <f>B7*E7</f>
        <v/>
      </c>
      <c r="G7" s="5">
        <f>F7-D7</f>
        <v/>
      </c>
    </row>
    <row r="8">
      <c r="A8" s="2" t="inlineStr">
        <is>
          <t>Dimanche</t>
        </is>
      </c>
      <c r="B8" s="5" t="n">
        <v>15</v>
      </c>
      <c r="C8" s="2" t="n">
        <v>150</v>
      </c>
      <c r="D8" s="5">
        <f>B8*C8</f>
        <v/>
      </c>
      <c r="E8" s="2" t="n"/>
      <c r="F8" s="5">
        <f>B8*E8</f>
        <v/>
      </c>
      <c r="G8" s="5">
        <f>F8-D8</f>
        <v/>
      </c>
    </row>
    <row r="10">
      <c r="A10" s="6" t="inlineStr">
        <is>
          <t>TOTAL BILLETTERIE</t>
        </is>
      </c>
      <c r="B10" s="6" t="n"/>
      <c r="C10" s="7">
        <f>SUM(C4:C8)</f>
        <v/>
      </c>
      <c r="D10" s="7">
        <f>SUM(D4:D8)</f>
        <v/>
      </c>
      <c r="E10" s="7">
        <f>SUM(E4:E8)</f>
        <v/>
      </c>
      <c r="F10" s="7">
        <f>SUM(F4:F8)</f>
        <v/>
      </c>
      <c r="G10" s="7">
        <f>SUM(G4:G8)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10" defaultColWidth="8.88671875" defaultRowHeight="14.4"/>
  <cols>
    <col width="33" customWidth="1" style="18" min="1" max="1"/>
    <col width="35" customWidth="1" style="18" min="2" max="2"/>
    <col width="11" customWidth="1" style="18" min="3" max="3"/>
    <col width="17" customWidth="1" style="18" min="4" max="6"/>
  </cols>
  <sheetData>
    <row r="1" ht="15.6" customHeight="1" s="18">
      <c r="A1" s="17" t="inlineStr">
        <is>
          <t>F&amp;B — Buvettes + Restauration</t>
        </is>
      </c>
    </row>
    <row r="3" ht="15.6" customHeight="1" s="18">
      <c r="A3" s="17" t="inlineStr">
        <is>
          <t>Recettes</t>
        </is>
      </c>
    </row>
    <row r="5">
      <c r="A5" s="1" t="inlineStr">
        <is>
          <t>Date</t>
        </is>
      </c>
      <c r="B5" s="1" t="inlineStr">
        <is>
          <t>Description</t>
        </is>
      </c>
      <c r="C5" s="1" t="inlineStr">
        <is>
          <t>Type</t>
        </is>
      </c>
      <c r="D5" s="1" t="inlineStr">
        <is>
          <t>Prévu</t>
        </is>
      </c>
      <c r="E5" s="1" t="inlineStr">
        <is>
          <t>Réel</t>
        </is>
      </c>
      <c r="F5" s="1" t="inlineStr">
        <is>
          <t>Écart</t>
        </is>
      </c>
    </row>
    <row r="6">
      <c r="A6" s="2" t="n"/>
      <c r="B6" s="2" t="inlineStr">
        <is>
          <t>Buvette Vendredi : bière + vin + soft + café (modulation jauge)</t>
        </is>
      </c>
      <c r="C6" s="2" t="inlineStr">
        <is>
          <t>Recette</t>
        </is>
      </c>
      <c r="D6" s="5" t="n">
        <v>3153</v>
      </c>
      <c r="E6" s="5" t="n"/>
      <c r="F6" s="5">
        <f>E6-D6</f>
        <v/>
      </c>
    </row>
    <row r="7">
      <c r="A7" s="2" t="n"/>
      <c r="B7" s="2" t="inlineStr">
        <is>
          <t>Buvette Samedi : bière + vin + soft + café (jour fort)</t>
        </is>
      </c>
      <c r="C7" s="2" t="inlineStr">
        <is>
          <t>Recette</t>
        </is>
      </c>
      <c r="D7" s="5" t="n">
        <v>9074</v>
      </c>
      <c r="E7" s="5" t="n"/>
      <c r="F7" s="5">
        <f>E7-D7</f>
        <v/>
      </c>
    </row>
    <row r="8">
      <c r="A8" s="2" t="n"/>
      <c r="B8" s="2" t="inlineStr">
        <is>
          <t>Buvette Dimanche : bière + vin + soft + café (modulation jauge)</t>
        </is>
      </c>
      <c r="C8" s="2" t="inlineStr">
        <is>
          <t>Recette</t>
        </is>
      </c>
      <c r="D8" s="5" t="n">
        <v>3153</v>
      </c>
      <c r="E8" s="5" t="n"/>
      <c r="F8" s="5">
        <f>E8-D8</f>
        <v/>
      </c>
    </row>
    <row r="9">
      <c r="A9" s="2" t="n"/>
      <c r="B9" s="2" t="inlineStr">
        <is>
          <t>Restauration — Vendredi</t>
        </is>
      </c>
      <c r="C9" s="2" t="inlineStr">
        <is>
          <t>Recette</t>
        </is>
      </c>
      <c r="D9" s="5" t="n">
        <v>2398</v>
      </c>
      <c r="E9" s="5" t="n"/>
      <c r="F9" s="5">
        <f>E9-D9</f>
        <v/>
      </c>
    </row>
    <row r="10">
      <c r="A10" s="2" t="n"/>
      <c r="B10" s="2" t="inlineStr">
        <is>
          <t>Restauration — Samedi</t>
        </is>
      </c>
      <c r="C10" s="2" t="inlineStr">
        <is>
          <t>Recette</t>
        </is>
      </c>
      <c r="D10" s="5" t="n">
        <v>6926</v>
      </c>
      <c r="E10" s="5" t="n"/>
      <c r="F10" s="5">
        <f>E10-D10</f>
        <v/>
      </c>
    </row>
    <row r="11">
      <c r="A11" s="2" t="n"/>
      <c r="B11" s="2" t="inlineStr">
        <is>
          <t>Restauration — Dimanche</t>
        </is>
      </c>
      <c r="C11" s="2" t="inlineStr">
        <is>
          <t>Recette</t>
        </is>
      </c>
      <c r="D11" s="5" t="n">
        <v>2398</v>
      </c>
      <c r="E11" s="5" t="n"/>
      <c r="F11" s="5">
        <f>E11-D11</f>
        <v/>
      </c>
    </row>
    <row r="12">
      <c r="B12" t="inlineStr">
        <is>
          <t>Consignes écocup non remboursées (1 000 écocups × 20% non-retour × 1€)</t>
        </is>
      </c>
      <c r="C12" t="inlineStr">
        <is>
          <t>Recette</t>
        </is>
      </c>
      <c r="D12" t="n">
        <v>200</v>
      </c>
    </row>
    <row r="13">
      <c r="A13" s="6" t="inlineStr">
        <is>
          <t>TOTAL RECETTES F&amp;B</t>
        </is>
      </c>
      <c r="B13" s="6" t="inlineStr">
        <is>
          <t>Snacks (pop-corn 810€ + frites 1080€ + glaces 1290€ + tomates cerise 870€)</t>
        </is>
      </c>
      <c r="C13" s="6" t="inlineStr">
        <is>
          <t>Recette</t>
        </is>
      </c>
      <c r="D13" s="7" t="n">
        <v>4050</v>
      </c>
      <c r="E13" s="7">
        <f>SUM(E6:E11)</f>
        <v/>
      </c>
      <c r="F13" s="7">
        <f>SUM(F6:F11)</f>
        <v/>
      </c>
    </row>
    <row r="15" ht="15.6" customHeight="1" s="18">
      <c r="A15" s="17" t="inlineStr">
        <is>
          <t>Dépenses</t>
        </is>
      </c>
    </row>
    <row r="17">
      <c r="A17" s="1" t="inlineStr">
        <is>
          <t>Date</t>
        </is>
      </c>
      <c r="B17" s="1" t="inlineStr">
        <is>
          <t>Description</t>
        </is>
      </c>
      <c r="C17" s="1" t="inlineStr">
        <is>
          <t>Type</t>
        </is>
      </c>
      <c r="D17" s="1" t="inlineStr">
        <is>
          <t>Prévu</t>
        </is>
      </c>
      <c r="E17" s="1" t="inlineStr">
        <is>
          <t>Réel</t>
        </is>
      </c>
      <c r="F17" s="1" t="inlineStr">
        <is>
          <t>Écart</t>
        </is>
      </c>
    </row>
    <row r="18">
      <c r="A18" s="15" t="n"/>
      <c r="B18" s="2" t="inlineStr">
        <is>
          <t>Bière Le Pintadier — 10 fûts initial (commande ferme)</t>
        </is>
      </c>
      <c r="C18" s="2" t="inlineStr">
        <is>
          <t>Dépense</t>
        </is>
      </c>
      <c r="D18" s="5" t="n">
        <v>800</v>
      </c>
      <c r="E18" s="5" t="n"/>
      <c r="F18" s="5">
        <f>E18-D18</f>
        <v/>
      </c>
    </row>
    <row r="19">
      <c r="A19" s="15" t="n"/>
      <c r="B19" s="2" t="inlineStr">
        <is>
          <t>Achats restauration : Sandwichs/fromage/charcuterie/etc (à recalibrer) — voir L28+ pour snacks détaillés</t>
        </is>
      </c>
      <c r="C19" s="2" t="inlineStr">
        <is>
          <t>Dépense</t>
        </is>
      </c>
      <c r="D19" s="5" t="n">
        <v>2930</v>
      </c>
      <c r="E19" s="5" t="n"/>
      <c r="F19" s="5">
        <f>E19-D19</f>
        <v/>
      </c>
    </row>
    <row r="20">
      <c r="A20" s="15" t="n"/>
      <c r="B20" s="2" t="inlineStr">
        <is>
          <t>Restauration artistes (prix coûtant)</t>
        </is>
      </c>
      <c r="C20" s="2" t="inlineStr">
        <is>
          <t>Dépense</t>
        </is>
      </c>
      <c r="D20" s="5" t="n">
        <v>555</v>
      </c>
      <c r="E20" s="5" t="n"/>
      <c r="F20" s="5">
        <f>E20-D20</f>
        <v/>
      </c>
    </row>
    <row r="21">
      <c r="A21" s="15" t="n"/>
      <c r="B21" s="2" t="inlineStr">
        <is>
          <t>Bière Le Pintadier — 5 fûts réassort éventuel (décision vendredi soir)</t>
        </is>
      </c>
      <c r="C21" s="2" t="inlineStr">
        <is>
          <t>Dépense</t>
        </is>
      </c>
      <c r="D21" s="5" t="n">
        <v>400</v>
      </c>
      <c r="E21" s="5" t="n"/>
      <c r="F21" s="5">
        <f>E21-D21</f>
        <v/>
      </c>
    </row>
    <row r="22">
      <c r="A22" s="15" t="n"/>
      <c r="B22" s="2" t="inlineStr">
        <is>
          <t>Soft : sirop 300€ + jus 350€ + Mortuacienne 58€ + eau pét 35€ + eau plate 32€ (net consignes fournisseur)</t>
        </is>
      </c>
      <c r="C22" s="2" t="inlineStr">
        <is>
          <t>Dépense</t>
        </is>
      </c>
      <c r="D22" s="5" t="n">
        <v>775</v>
      </c>
      <c r="E22" s="5" t="n"/>
      <c r="F22" s="5">
        <f>E22-D22</f>
        <v/>
      </c>
    </row>
    <row r="23">
      <c r="A23" s="15" t="n"/>
      <c r="B23" s="2" t="inlineStr">
        <is>
          <t>Écocups Atomic — 1 000 pièces 25 cL (réutilisables, amorti sur éditions futures)</t>
        </is>
      </c>
      <c r="C23" s="2" t="inlineStr">
        <is>
          <t>Dépense</t>
        </is>
      </c>
      <c r="D23" s="5" t="n">
        <v>600</v>
      </c>
      <c r="E23" s="5" t="n"/>
      <c r="F23" s="5">
        <f>E23-D23</f>
        <v/>
      </c>
    </row>
    <row r="24">
      <c r="A24" s="15" t="n"/>
      <c r="B24" s="2" t="inlineStr">
        <is>
          <t>Vin Cubi Jura 5L (Hyper Boisson, prix négocié 50€/cubi) — 29 cubis</t>
        </is>
      </c>
      <c r="C24" s="2" t="inlineStr">
        <is>
          <t>Dépense</t>
        </is>
      </c>
      <c r="D24" s="5" t="n">
        <v>1450</v>
      </c>
      <c r="E24" s="5" t="n"/>
      <c r="F24" s="5">
        <f>E24-D24</f>
        <v/>
      </c>
    </row>
    <row r="25">
      <c r="A25" s="15" t="n"/>
      <c r="B25" s="2" t="inlineStr">
        <is>
          <t>Eau gratuite — fontaines location + carafes (charge éthique)</t>
        </is>
      </c>
      <c r="C25" s="2" t="inlineStr">
        <is>
          <t>Dépense</t>
        </is>
      </c>
      <c r="D25" s="5" t="n">
        <v>400</v>
      </c>
      <c r="E25" s="5" t="n"/>
      <c r="F25" s="5">
        <f>E25-D25</f>
        <v/>
      </c>
    </row>
    <row r="26">
      <c r="B26" t="inlineStr">
        <is>
          <t>Vaisselle bio jetable : gobelets bio (soft+café+glaces+pop-corn+frites) + assiettes + back-up bière 300v</t>
        </is>
      </c>
      <c r="C26" t="inlineStr">
        <is>
          <t>Dépense</t>
        </is>
      </c>
      <c r="D26" t="n">
        <v>319</v>
      </c>
    </row>
    <row r="27">
      <c r="A27" s="6" t="inlineStr">
        <is>
          <t>TOTAL DÉPENSES F&amp;B</t>
        </is>
      </c>
      <c r="B27" s="6" t="inlineStr">
        <is>
          <t>Pop-corn matières (maïs 10€ + huile/sel 5€) + gobelets bio 72 cL (270 × 0,10€ = 27€) — 270 portions</t>
        </is>
      </c>
      <c r="C27" s="6" t="inlineStr">
        <is>
          <t>Dépense</t>
        </is>
      </c>
      <c r="D27" s="7" t="n">
        <v>42</v>
      </c>
      <c r="E27" s="7">
        <f>SUM(E18:E25)</f>
        <v/>
      </c>
      <c r="F27" s="7">
        <f>SUM(F18:F25)</f>
        <v/>
      </c>
    </row>
    <row r="28">
      <c r="B28" t="inlineStr">
        <is>
          <t>Frites : 50kg pdt BFC (60€) + huile (32€) + sel (2€) + barquettes (18€) + sauces (36€) — 360 portions</t>
        </is>
      </c>
      <c r="C28" t="inlineStr">
        <is>
          <t>Dépense</t>
        </is>
      </c>
      <c r="D28" t="n">
        <v>148</v>
      </c>
    </row>
    <row r="29">
      <c r="B29" t="inlineStr">
        <is>
          <t>Glaces ERHARD : 43 bacs 2,5L (101€) + cornets gaufrette 380 (46€) + gobelets back-up allerg./enfants 50 (4€) — 430 portions × 2 boules</t>
        </is>
      </c>
      <c r="C29" t="inlineStr">
        <is>
          <t>Dépense</t>
        </is>
      </c>
      <c r="D29" t="n">
        <v>151</v>
      </c>
    </row>
    <row r="30">
      <c r="B30" t="inlineStr">
        <is>
          <t>Tomates cerise BRUNO (45kg × 1,20€/kg = 54€) + gobelets bio 25cL (17€) — 290 portions × 150g</t>
        </is>
      </c>
      <c r="C30" t="inlineStr">
        <is>
          <t>Dépense</t>
        </is>
      </c>
      <c r="D30" t="n">
        <v>71</v>
      </c>
    </row>
  </sheetData>
  <mergeCells count="3">
    <mergeCell ref="A3:F3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topLeftCell="A3" workbookViewId="0">
      <selection activeCell="A1" sqref="A1:F1"/>
    </sheetView>
  </sheetViews>
  <sheetFormatPr baseColWidth="10" defaultColWidth="8.88671875" defaultRowHeight="14.4"/>
  <cols>
    <col width="35" customWidth="1" style="18" min="1" max="2"/>
    <col width="11" customWidth="1" style="18" min="3" max="3"/>
    <col width="17" customWidth="1" style="18" min="4" max="6"/>
  </cols>
  <sheetData>
    <row r="1" ht="15.6" customHeight="1" s="18">
      <c r="A1" s="17" t="inlineStr">
        <is>
          <t>ATELIERS — Recettes &amp; Dépenses</t>
        </is>
      </c>
    </row>
    <row r="3" ht="15.6" customHeight="1" s="18">
      <c r="A3" s="17" t="inlineStr">
        <is>
          <t>Recettes (cotisations participants)</t>
        </is>
      </c>
    </row>
    <row r="5">
      <c r="A5" s="1" t="inlineStr">
        <is>
          <t>Date</t>
        </is>
      </c>
      <c r="B5" s="1" t="inlineStr">
        <is>
          <t>Description</t>
        </is>
      </c>
      <c r="C5" s="1" t="inlineStr">
        <is>
          <t>Type</t>
        </is>
      </c>
      <c r="D5" s="1" t="inlineStr">
        <is>
          <t>Prévu</t>
        </is>
      </c>
      <c r="E5" s="1" t="inlineStr">
        <is>
          <t>Réel</t>
        </is>
      </c>
      <c r="F5" s="1" t="inlineStr">
        <is>
          <t>Écart</t>
        </is>
      </c>
    </row>
    <row r="6">
      <c r="A6" s="15" t="n"/>
      <c r="B6" s="2" t="inlineStr">
        <is>
          <t>Masterclass chant lyrique (4 élèves × 60 €)</t>
        </is>
      </c>
      <c r="C6" s="2" t="inlineStr">
        <is>
          <t>Recette</t>
        </is>
      </c>
      <c r="D6" s="5" t="n">
        <v>240</v>
      </c>
      <c r="E6" s="5" t="n"/>
      <c r="F6" s="5">
        <f>E6-D6</f>
        <v/>
      </c>
    </row>
    <row r="7">
      <c r="A7" s="15" t="n"/>
      <c r="B7" s="2" t="inlineStr">
        <is>
          <t>Atelier écriture (15 pers × 50 € + 150 € lycée)</t>
        </is>
      </c>
      <c r="C7" s="2" t="inlineStr">
        <is>
          <t>Recette</t>
        </is>
      </c>
      <c r="D7" s="5" t="n">
        <v>900</v>
      </c>
      <c r="E7" s="5" t="n"/>
      <c r="F7" s="5">
        <f>E7-D7</f>
        <v/>
      </c>
    </row>
    <row r="8">
      <c r="A8" s="15" t="n"/>
      <c r="B8" s="2" t="inlineStr">
        <is>
          <t>Atelier musique &amp; théâtre (30 pers × 50 €)</t>
        </is>
      </c>
      <c r="C8" s="2" t="inlineStr">
        <is>
          <t>Recette</t>
        </is>
      </c>
      <c r="D8" s="5" t="n">
        <v>1500</v>
      </c>
      <c r="E8" s="5" t="n"/>
      <c r="F8" s="5">
        <f>E8-D8</f>
        <v/>
      </c>
    </row>
    <row r="9">
      <c r="A9" s="15" t="n"/>
      <c r="B9" s="2" t="inlineStr">
        <is>
          <t>Atelier DJ (15 pers × 50 €)</t>
        </is>
      </c>
      <c r="C9" s="2" t="inlineStr">
        <is>
          <t>Recette</t>
        </is>
      </c>
      <c r="D9" s="5" t="n">
        <v>750</v>
      </c>
      <c r="E9" s="5" t="n"/>
      <c r="F9" s="5">
        <f>E9-D9</f>
        <v/>
      </c>
    </row>
    <row r="10">
      <c r="A10" s="15" t="n"/>
      <c r="B10" s="2" t="n"/>
      <c r="C10" s="2" t="n"/>
      <c r="D10" s="5" t="n"/>
      <c r="E10" s="5" t="n"/>
      <c r="F10" s="5">
        <f>E10-D10</f>
        <v/>
      </c>
    </row>
    <row r="11">
      <c r="A11" s="15" t="n"/>
      <c r="B11" s="2" t="n"/>
      <c r="C11" s="2" t="n"/>
      <c r="D11" s="5" t="n"/>
      <c r="E11" s="5" t="n"/>
      <c r="F11" s="5">
        <f>E11-D11</f>
        <v/>
      </c>
    </row>
    <row r="12">
      <c r="A12" s="15" t="n"/>
      <c r="B12" s="2" t="n"/>
      <c r="C12" s="2" t="n"/>
      <c r="D12" s="5" t="n"/>
      <c r="E12" s="5" t="n"/>
      <c r="F12" s="5">
        <f>E12-D12</f>
        <v/>
      </c>
    </row>
    <row r="14">
      <c r="A14" s="6" t="inlineStr">
        <is>
          <t>TOTAL RECETTES ATELIERS</t>
        </is>
      </c>
      <c r="B14" s="6" t="n"/>
      <c r="C14" s="6" t="n"/>
      <c r="D14" s="7">
        <f>SUM(D6:D12)</f>
        <v/>
      </c>
      <c r="E14" s="7">
        <f>SUM(E6:E12)</f>
        <v/>
      </c>
      <c r="F14" s="7">
        <f>SUM(F6:F12)</f>
        <v/>
      </c>
    </row>
    <row r="16" ht="15.6" customHeight="1" s="18">
      <c r="A16" s="17" t="inlineStr">
        <is>
          <t>Dépenses (intervenants ateliers)</t>
        </is>
      </c>
    </row>
    <row r="18">
      <c r="A18" s="1" t="inlineStr">
        <is>
          <t>Date</t>
        </is>
      </c>
      <c r="B18" s="1" t="inlineStr">
        <is>
          <t>Description</t>
        </is>
      </c>
      <c r="C18" s="1" t="inlineStr">
        <is>
          <t>Type</t>
        </is>
      </c>
      <c r="D18" s="1" t="inlineStr">
        <is>
          <t>Prévu</t>
        </is>
      </c>
      <c r="E18" s="1" t="inlineStr">
        <is>
          <t>Réel</t>
        </is>
      </c>
      <c r="F18" s="1" t="inlineStr">
        <is>
          <t>Écart</t>
        </is>
      </c>
    </row>
    <row r="19">
      <c r="A19" s="15" t="n"/>
      <c r="B19" s="2" t="inlineStr">
        <is>
          <t>Rép. Fabulo (4 art. x 2 jours x 100€)</t>
        </is>
      </c>
      <c r="C19" s="2" t="inlineStr">
        <is>
          <t>Dépense</t>
        </is>
      </c>
      <c r="D19" s="5" t="n">
        <v>800</v>
      </c>
      <c r="E19" s="5" t="n"/>
      <c r="F19" s="5">
        <f>E19-D19</f>
        <v/>
      </c>
    </row>
    <row r="20">
      <c r="A20" s="15" t="n"/>
      <c r="B20" s="2" t="inlineStr">
        <is>
          <t>Rép. Masterclass chant — Romane (incl. Fabulo)</t>
        </is>
      </c>
      <c r="C20" s="2" t="inlineStr">
        <is>
          <t>Dépense</t>
        </is>
      </c>
      <c r="D20" s="5" t="n">
        <v>0</v>
      </c>
      <c r="E20" s="5" t="n"/>
      <c r="F20" s="5">
        <f>E20-D20</f>
        <v/>
      </c>
    </row>
    <row r="21">
      <c r="A21" s="15" t="n"/>
      <c r="B21" s="2" t="inlineStr">
        <is>
          <t>Rép. Atelier écriture — Sylvain (2 jours x 100€)</t>
        </is>
      </c>
      <c r="C21" s="2" t="inlineStr">
        <is>
          <t>Dépense</t>
        </is>
      </c>
      <c r="D21" s="5" t="n">
        <v>200</v>
      </c>
      <c r="E21" s="5" t="n"/>
      <c r="F21" s="5">
        <f>E21-D21</f>
        <v/>
      </c>
    </row>
    <row r="22">
      <c r="A22" s="15" t="n"/>
      <c r="B22" s="2" t="inlineStr">
        <is>
          <t>Rép. Atelier DJ — Jeff (2 jours x 100€)</t>
        </is>
      </c>
      <c r="C22" s="2" t="inlineStr">
        <is>
          <t>Dépense</t>
        </is>
      </c>
      <c r="D22" s="5" t="n">
        <v>200</v>
      </c>
      <c r="E22" s="5" t="n"/>
      <c r="F22" s="5">
        <f>E22-D22</f>
        <v/>
      </c>
    </row>
    <row r="23">
      <c r="A23" s="15" t="n"/>
      <c r="B23" s="2" t="n"/>
      <c r="C23" s="2" t="n"/>
      <c r="D23" s="5" t="n"/>
      <c r="E23" s="5" t="n"/>
      <c r="F23" s="5">
        <f>E23-D23</f>
        <v/>
      </c>
    </row>
    <row r="24">
      <c r="A24" s="15" t="n"/>
      <c r="B24" s="2" t="n"/>
      <c r="C24" s="2" t="n"/>
      <c r="D24" s="5" t="n"/>
      <c r="E24" s="5" t="n"/>
      <c r="F24" s="5">
        <f>E24-D24</f>
        <v/>
      </c>
    </row>
    <row r="25">
      <c r="A25" s="15" t="n"/>
      <c r="B25" s="2" t="n"/>
      <c r="C25" s="2" t="n"/>
      <c r="D25" s="5" t="n"/>
      <c r="E25" s="5" t="n"/>
      <c r="F25" s="5">
        <f>E25-D25</f>
        <v/>
      </c>
    </row>
    <row r="27">
      <c r="A27" s="6" t="inlineStr">
        <is>
          <t>TOTAL DÉPENSES ATELIERS</t>
        </is>
      </c>
      <c r="B27" s="6" t="n"/>
      <c r="C27" s="6" t="n"/>
      <c r="D27" s="7">
        <f>SUM(D19:D25)</f>
        <v/>
      </c>
      <c r="E27" s="7">
        <f>SUM(E19:E25)</f>
        <v/>
      </c>
      <c r="F27" s="7">
        <f>SUM(F19:F25)</f>
        <v/>
      </c>
    </row>
  </sheetData>
  <mergeCells count="3">
    <mergeCell ref="A3:F3"/>
    <mergeCell ref="A16:F1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tabSelected="1" workbookViewId="0">
      <selection activeCell="B32" sqref="B32:B36"/>
    </sheetView>
  </sheetViews>
  <sheetFormatPr baseColWidth="10" defaultColWidth="8.88671875" defaultRowHeight="14.4"/>
  <cols>
    <col width="35" customWidth="1" style="18" min="1" max="1"/>
    <col width="18" customWidth="1" style="18" min="2" max="2"/>
    <col width="21" customWidth="1" style="18" min="3" max="3"/>
    <col width="14" customWidth="1" style="18" min="4" max="4"/>
    <col width="11" customWidth="1" style="18" min="5" max="5"/>
    <col width="22" customWidth="1" style="18" min="6" max="6"/>
    <col width="19" customWidth="1" style="18" min="7" max="7"/>
    <col width="21" customWidth="1" style="18" min="8" max="8"/>
    <col width="16" customWidth="1" style="18" min="9" max="9"/>
    <col width="17" customWidth="1" style="18" min="10" max="10"/>
    <col width="20" customWidth="1" style="18" min="11" max="11"/>
    <col width="16" customWidth="1" style="18" min="12" max="12"/>
    <col width="17" customWidth="1" style="18" min="13" max="13"/>
    <col width="16" customWidth="1" style="18" min="14" max="14"/>
  </cols>
  <sheetData>
    <row r="1" ht="15.6" customHeight="1" s="18">
      <c r="A1" s="17" t="inlineStr">
        <is>
          <t>ARTISTES — Dépenses (cachet 250€, rép. 100€, défr. 200€ max)</t>
        </is>
      </c>
    </row>
    <row r="2" ht="15.6" customHeight="1" s="18">
      <c r="A2" s="17" t="n"/>
    </row>
    <row r="3">
      <c r="A3" s="2" t="inlineStr">
        <is>
          <t>Georges Cabaret (Sète, 34) - France hors BFC</t>
        </is>
      </c>
      <c r="B3" s="2" t="inlineStr">
        <is>
          <t>Musique</t>
        </is>
      </c>
      <c r="C3" s="2" t="inlineStr"/>
      <c r="D3" s="2" t="n">
        <v>1</v>
      </c>
      <c r="E3" s="2" t="n">
        <v>0</v>
      </c>
      <c r="F3" s="2" t="n">
        <v>250</v>
      </c>
      <c r="G3" s="2" t="n">
        <v>0</v>
      </c>
      <c r="H3" s="2" t="n">
        <v>150</v>
      </c>
      <c r="I3" s="2" t="n">
        <v>400</v>
      </c>
      <c r="J3" s="2" t="inlineStr"/>
      <c r="K3" s="2" t="inlineStr"/>
      <c r="L3" s="2" t="n">
        <v>0</v>
      </c>
      <c r="M3" s="2" t="inlineStr"/>
      <c r="N3" s="2" t="n">
        <v>-400</v>
      </c>
    </row>
    <row r="4">
      <c r="A4" s="2" t="inlineStr">
        <is>
          <t>Loretta (locale)</t>
        </is>
      </c>
      <c r="B4" s="2" t="inlineStr">
        <is>
          <t>Musique</t>
        </is>
      </c>
      <c r="C4" s="2" t="inlineStr"/>
      <c r="D4" s="2" t="n">
        <v>1</v>
      </c>
      <c r="E4" s="2" t="n">
        <v>0</v>
      </c>
      <c r="F4" s="2" t="n">
        <v>250</v>
      </c>
      <c r="G4" s="2" t="n">
        <v>0</v>
      </c>
      <c r="H4" s="2" t="n">
        <v>0</v>
      </c>
      <c r="I4" s="2" t="n">
        <v>250</v>
      </c>
      <c r="J4" s="2" t="inlineStr"/>
      <c r="K4" s="2" t="inlineStr"/>
      <c r="L4" s="2" t="n">
        <v>0</v>
      </c>
      <c r="M4" s="2" t="inlineStr"/>
      <c r="N4" s="2" t="n">
        <v>-250</v>
      </c>
    </row>
    <row r="5">
      <c r="A5" s="2" t="inlineStr">
        <is>
          <t>Fanélie Nava</t>
        </is>
      </c>
      <c r="B5" s="2" t="inlineStr">
        <is>
          <t>Musique</t>
        </is>
      </c>
      <c r="C5" s="2" t="inlineStr"/>
      <c r="D5" s="2" t="n">
        <v>1</v>
      </c>
      <c r="E5" s="2" t="n">
        <v>0</v>
      </c>
      <c r="F5" s="2" t="n">
        <v>250</v>
      </c>
      <c r="G5" s="2" t="n">
        <v>0</v>
      </c>
      <c r="H5" s="2" t="n">
        <v>150</v>
      </c>
      <c r="I5" s="2" t="n">
        <v>400</v>
      </c>
      <c r="J5" s="2" t="inlineStr"/>
      <c r="K5" s="2" t="inlineStr"/>
      <c r="L5" s="2" t="n">
        <v>0</v>
      </c>
      <c r="M5" s="2" t="inlineStr"/>
      <c r="N5" s="2" t="n">
        <v>-400</v>
      </c>
    </row>
    <row r="6">
      <c r="A6" s="2" t="inlineStr">
        <is>
          <t>Manu - Wambo (local)</t>
        </is>
      </c>
      <c r="B6" s="2" t="inlineStr">
        <is>
          <t>Musique</t>
        </is>
      </c>
      <c r="C6" s="2" t="inlineStr"/>
      <c r="D6" s="2" t="n">
        <v>1</v>
      </c>
      <c r="E6" s="2" t="n">
        <v>0</v>
      </c>
      <c r="F6" s="2" t="n">
        <v>250</v>
      </c>
      <c r="G6" s="2" t="n">
        <v>0</v>
      </c>
      <c r="H6" s="2" t="n">
        <v>0</v>
      </c>
      <c r="I6" s="2" t="n">
        <v>250</v>
      </c>
      <c r="J6" s="2" t="inlineStr"/>
      <c r="K6" s="2" t="inlineStr"/>
      <c r="L6" s="2" t="n">
        <v>0</v>
      </c>
      <c r="M6" s="2" t="inlineStr"/>
      <c r="N6" s="2" t="n">
        <v>-250</v>
      </c>
    </row>
    <row r="7">
      <c r="A7" s="2" t="inlineStr">
        <is>
          <t>Antoine Vermot - Jeff The Fool (local, parents BFC)</t>
        </is>
      </c>
      <c r="B7" s="2" t="inlineStr">
        <is>
          <t>Musique</t>
        </is>
      </c>
      <c r="C7" s="2" t="inlineStr">
        <is>
          <t>Atelier DJ</t>
        </is>
      </c>
      <c r="D7" s="2" t="n">
        <v>0</v>
      </c>
      <c r="E7" s="2" t="n">
        <v>2</v>
      </c>
      <c r="F7" s="2" t="n">
        <v>0</v>
      </c>
      <c r="G7" s="2" t="n">
        <v>200</v>
      </c>
      <c r="H7" s="2" t="n">
        <v>0</v>
      </c>
      <c r="I7" s="2" t="n">
        <v>200</v>
      </c>
      <c r="J7" s="2" t="inlineStr"/>
      <c r="K7" s="2" t="inlineStr"/>
      <c r="L7" s="2" t="n">
        <v>0</v>
      </c>
      <c r="M7" s="2" t="inlineStr"/>
      <c r="N7" s="2" t="n">
        <v>-200</v>
      </c>
    </row>
    <row r="8">
      <c r="A8" s="2" t="inlineStr">
        <is>
          <t>Wet Enough?! (5 art.)</t>
        </is>
      </c>
      <c r="B8" s="2" t="inlineStr">
        <is>
          <t>Musique — Collectif</t>
        </is>
      </c>
      <c r="C8" s="2" t="inlineStr"/>
      <c r="D8" s="2" t="n">
        <v>5</v>
      </c>
      <c r="E8" s="2" t="n">
        <v>0</v>
      </c>
      <c r="F8" s="2" t="n">
        <v>1250</v>
      </c>
      <c r="G8" s="2" t="n">
        <v>0</v>
      </c>
      <c r="H8" s="2" t="n">
        <v>750</v>
      </c>
      <c r="I8" s="2" t="n">
        <v>2000</v>
      </c>
      <c r="J8" s="2" t="inlineStr"/>
      <c r="K8" s="2" t="inlineStr"/>
      <c r="L8" s="2" t="n">
        <v>0</v>
      </c>
      <c r="M8" s="2" t="inlineStr"/>
      <c r="N8" s="2" t="n">
        <v>-2000</v>
      </c>
    </row>
    <row r="9">
      <c r="A9" s="2" t="inlineStr">
        <is>
          <t>Osmosis (3 art.)</t>
        </is>
      </c>
      <c r="B9" s="2" t="inlineStr">
        <is>
          <t>Musique — Collectif</t>
        </is>
      </c>
      <c r="C9" s="2" t="inlineStr"/>
      <c r="D9" s="2" t="n">
        <v>3</v>
      </c>
      <c r="E9" s="2" t="n">
        <v>0</v>
      </c>
      <c r="F9" s="2" t="n">
        <v>750</v>
      </c>
      <c r="G9" s="2" t="n">
        <v>0</v>
      </c>
      <c r="H9" s="2" t="n">
        <v>450</v>
      </c>
      <c r="I9" s="2" t="n">
        <v>1200</v>
      </c>
      <c r="J9" s="2" t="inlineStr"/>
      <c r="K9" s="2" t="inlineStr"/>
      <c r="L9" s="2" t="n">
        <v>0</v>
      </c>
      <c r="M9" s="2" t="inlineStr"/>
      <c r="N9" s="2" t="n">
        <v>-1200</v>
      </c>
    </row>
    <row r="10">
      <c r="A10" s="2" t="inlineStr">
        <is>
          <t>Vladimir Torres Trio (3 art.) - France hors BFC</t>
        </is>
      </c>
      <c r="B10" s="2" t="inlineStr">
        <is>
          <t>Musique — Collectif</t>
        </is>
      </c>
      <c r="C10" s="2" t="inlineStr"/>
      <c r="D10" s="2" t="n">
        <v>3</v>
      </c>
      <c r="E10" s="2" t="n">
        <v>0</v>
      </c>
      <c r="F10" s="2" t="n">
        <v>750</v>
      </c>
      <c r="G10" s="2" t="n">
        <v>0</v>
      </c>
      <c r="H10" s="2" t="n">
        <v>450</v>
      </c>
      <c r="I10" s="2" t="n">
        <v>1200</v>
      </c>
      <c r="J10" s="2" t="inlineStr"/>
      <c r="K10" s="2" t="inlineStr"/>
      <c r="L10" s="2" t="n">
        <v>0</v>
      </c>
      <c r="M10" s="2" t="inlineStr"/>
      <c r="N10" s="2" t="n">
        <v>-1200</v>
      </c>
    </row>
    <row r="11">
      <c r="A11" s="2" t="inlineStr">
        <is>
          <t>Kaïnza (3 art.)</t>
        </is>
      </c>
      <c r="B11" s="2" t="inlineStr">
        <is>
          <t>Musique — Collectif</t>
        </is>
      </c>
      <c r="C11" s="2" t="inlineStr"/>
      <c r="D11" s="2" t="n">
        <v>3</v>
      </c>
      <c r="E11" s="2" t="n">
        <v>0</v>
      </c>
      <c r="F11" s="2" t="n">
        <v>750</v>
      </c>
      <c r="G11" s="2" t="n">
        <v>0</v>
      </c>
      <c r="H11" s="2" t="n">
        <v>450</v>
      </c>
      <c r="I11" s="2" t="n">
        <v>1200</v>
      </c>
      <c r="J11" s="2" t="inlineStr"/>
      <c r="K11" s="2" t="inlineStr"/>
      <c r="L11" s="2" t="n">
        <v>0</v>
      </c>
      <c r="M11" s="2" t="inlineStr"/>
      <c r="N11" s="2" t="n">
        <v>-1200</v>
      </c>
    </row>
    <row r="12">
      <c r="A12" s="2" t="inlineStr">
        <is>
          <t>Léopold (famille)</t>
        </is>
      </c>
      <c r="B12" s="2" t="inlineStr">
        <is>
          <t>Musique</t>
        </is>
      </c>
      <c r="C12" s="2" t="inlineStr">
        <is>
          <t>Atelier DJ</t>
        </is>
      </c>
      <c r="D12" s="2" t="n">
        <v>0</v>
      </c>
      <c r="E12" s="2" t="n">
        <v>2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/>
      <c r="K12" s="2" t="inlineStr"/>
      <c r="L12" s="2" t="n">
        <v>0</v>
      </c>
      <c r="M12" s="2" t="inlineStr"/>
      <c r="N12" s="2" t="n">
        <v>0</v>
      </c>
    </row>
    <row r="13">
      <c r="A13" s="2" t="inlineStr">
        <is>
          <t>Luther (famille)</t>
        </is>
      </c>
      <c r="B13" s="2" t="inlineStr">
        <is>
          <t>Musique</t>
        </is>
      </c>
      <c r="C13" s="2" t="inlineStr"/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inlineStr"/>
      <c r="L13" s="2" t="n">
        <v>0</v>
      </c>
      <c r="M13" s="2" t="inlineStr"/>
      <c r="N13" s="2" t="n">
        <v>0</v>
      </c>
    </row>
    <row r="14">
      <c r="A14" s="2" t="inlineStr">
        <is>
          <t>Marius (Fabulo)</t>
        </is>
      </c>
      <c r="B14" s="2" t="inlineStr">
        <is>
          <t>Fabulo — Collectif</t>
        </is>
      </c>
      <c r="C14" s="2" t="inlineStr">
        <is>
          <t>Musique &amp; théâtre</t>
        </is>
      </c>
      <c r="D14" s="2" t="n">
        <v>2</v>
      </c>
      <c r="E14" s="2" t="n">
        <v>2</v>
      </c>
      <c r="F14" s="2" t="n">
        <v>500</v>
      </c>
      <c r="G14" s="2" t="n">
        <v>200</v>
      </c>
      <c r="H14" s="2" t="n">
        <v>150</v>
      </c>
      <c r="I14" s="2" t="n">
        <v>850</v>
      </c>
      <c r="J14" s="2" t="inlineStr"/>
      <c r="K14" s="2" t="inlineStr"/>
      <c r="L14" s="2" t="n">
        <v>0</v>
      </c>
      <c r="M14" s="2" t="inlineStr"/>
      <c r="N14" s="2" t="n">
        <v>-850</v>
      </c>
    </row>
    <row r="15">
      <c r="A15" s="2" t="inlineStr">
        <is>
          <t>Maya (Fabulo)</t>
        </is>
      </c>
      <c r="B15" s="2" t="inlineStr">
        <is>
          <t>Fabulo — Collectif</t>
        </is>
      </c>
      <c r="C15" s="2" t="inlineStr">
        <is>
          <t>Musique &amp; théâtre</t>
        </is>
      </c>
      <c r="D15" s="2" t="n">
        <v>2</v>
      </c>
      <c r="E15" s="2" t="n">
        <v>2</v>
      </c>
      <c r="F15" s="2" t="n">
        <v>500</v>
      </c>
      <c r="G15" s="2" t="n">
        <v>200</v>
      </c>
      <c r="H15" s="2" t="n">
        <v>150</v>
      </c>
      <c r="I15" s="2" t="n">
        <v>850</v>
      </c>
      <c r="J15" s="2" t="inlineStr"/>
      <c r="K15" s="2" t="inlineStr"/>
      <c r="L15" s="2" t="n">
        <v>0</v>
      </c>
      <c r="M15" s="2" t="inlineStr"/>
      <c r="N15" s="2" t="n">
        <v>-850</v>
      </c>
    </row>
    <row r="16">
      <c r="A16" s="2" t="inlineStr">
        <is>
          <t>Raphaëlle (Fabulo)</t>
        </is>
      </c>
      <c r="B16" s="2" t="inlineStr">
        <is>
          <t>Fabulo — Collectif</t>
        </is>
      </c>
      <c r="C16" s="2" t="inlineStr">
        <is>
          <t>Musique &amp; théâtre</t>
        </is>
      </c>
      <c r="D16" s="2" t="n">
        <v>2</v>
      </c>
      <c r="E16" s="2" t="n">
        <v>2</v>
      </c>
      <c r="F16" s="2" t="n">
        <v>500</v>
      </c>
      <c r="G16" s="2" t="n">
        <v>200</v>
      </c>
      <c r="H16" s="2" t="n">
        <v>150</v>
      </c>
      <c r="I16" s="2" t="n">
        <v>850</v>
      </c>
      <c r="J16" s="2" t="inlineStr"/>
      <c r="K16" s="2" t="inlineStr"/>
      <c r="L16" s="2" t="n">
        <v>0</v>
      </c>
      <c r="M16" s="2" t="inlineStr"/>
      <c r="N16" s="2" t="n">
        <v>-850</v>
      </c>
    </row>
    <row r="17">
      <c r="A17" s="2" t="inlineStr">
        <is>
          <t>Romane Cabaret (vient avec Lorraine)</t>
        </is>
      </c>
      <c r="B17" s="2" t="inlineStr">
        <is>
          <t>Fabulo — Collectif</t>
        </is>
      </c>
      <c r="C17" s="2" t="inlineStr">
        <is>
          <t>Masterclass chant</t>
        </is>
      </c>
      <c r="D17" s="2" t="n">
        <v>4</v>
      </c>
      <c r="E17" s="2" t="n">
        <v>2</v>
      </c>
      <c r="F17" s="2" t="n">
        <v>1000</v>
      </c>
      <c r="G17" s="2" t="n">
        <v>200</v>
      </c>
      <c r="H17" s="2" t="n">
        <v>0</v>
      </c>
      <c r="I17" s="2" t="n">
        <v>1200</v>
      </c>
      <c r="J17" s="2" t="inlineStr"/>
      <c r="K17" s="2" t="inlineStr"/>
      <c r="L17" s="2" t="n">
        <v>0</v>
      </c>
      <c r="M17" s="2" t="inlineStr"/>
      <c r="N17" s="2" t="n">
        <v>-1200</v>
      </c>
    </row>
    <row r="18">
      <c r="A18" s="2" t="inlineStr">
        <is>
          <t>Lorraine (famille)</t>
        </is>
      </c>
      <c r="B18" s="2" t="inlineStr">
        <is>
          <t>Fabulo</t>
        </is>
      </c>
      <c r="C18" s="2" t="inlineStr">
        <is>
          <t>Musique &amp; théâtre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/>
      <c r="K18" s="2" t="inlineStr"/>
      <c r="L18" s="2" t="n">
        <v>0</v>
      </c>
      <c r="M18" s="2" t="inlineStr"/>
      <c r="N18" s="2" t="n">
        <v>0</v>
      </c>
    </row>
    <row r="19">
      <c r="A19" s="2" t="inlineStr">
        <is>
          <t>Marc Trembovelski</t>
        </is>
      </c>
      <c r="B19" s="2" t="inlineStr">
        <is>
          <t>Classique</t>
        </is>
      </c>
      <c r="C19" s="2" t="inlineStr"/>
      <c r="D19" s="2" t="n">
        <v>2</v>
      </c>
      <c r="E19" s="2" t="n">
        <v>0</v>
      </c>
      <c r="F19" s="2" t="n">
        <v>500</v>
      </c>
      <c r="G19" s="2" t="n">
        <v>0</v>
      </c>
      <c r="H19" s="2" t="n">
        <v>200</v>
      </c>
      <c r="I19" s="2" t="n">
        <v>700</v>
      </c>
      <c r="J19" s="2" t="inlineStr"/>
      <c r="K19" s="2" t="inlineStr"/>
      <c r="L19" s="2" t="n">
        <v>0</v>
      </c>
      <c r="M19" s="2" t="inlineStr"/>
      <c r="N19" s="2" t="n">
        <v>-700</v>
      </c>
    </row>
    <row r="20">
      <c r="A20" s="2" t="inlineStr">
        <is>
          <t>Sophie Ehling</t>
        </is>
      </c>
      <c r="B20" s="2" t="inlineStr">
        <is>
          <t>Classique</t>
        </is>
      </c>
      <c r="C20" s="2" t="inlineStr"/>
      <c r="D20" s="2" t="n">
        <v>2</v>
      </c>
      <c r="E20" s="2" t="n">
        <v>0</v>
      </c>
      <c r="F20" s="2" t="n">
        <v>500</v>
      </c>
      <c r="G20" s="2" t="n">
        <v>0</v>
      </c>
      <c r="H20" s="2" t="n">
        <v>200</v>
      </c>
      <c r="I20" s="2" t="n">
        <v>700</v>
      </c>
      <c r="J20" s="2" t="inlineStr"/>
      <c r="K20" s="2" t="inlineStr"/>
      <c r="L20" s="2" t="n">
        <v>0</v>
      </c>
      <c r="M20" s="2" t="inlineStr"/>
      <c r="N20" s="2" t="n">
        <v>-700</v>
      </c>
    </row>
    <row r="21">
      <c r="A21" s="2" t="inlineStr">
        <is>
          <t>Jakub Wycislik</t>
        </is>
      </c>
      <c r="B21" s="2" t="inlineStr">
        <is>
          <t>Classique</t>
        </is>
      </c>
      <c r="C21" s="2" t="inlineStr"/>
      <c r="D21" s="2" t="n">
        <v>2</v>
      </c>
      <c r="E21" s="2" t="n">
        <v>0</v>
      </c>
      <c r="F21" s="2" t="n">
        <v>500</v>
      </c>
      <c r="G21" s="2" t="n">
        <v>0</v>
      </c>
      <c r="H21" s="2" t="n">
        <v>200</v>
      </c>
      <c r="I21" s="2" t="n">
        <v>700</v>
      </c>
      <c r="J21" s="2" t="inlineStr"/>
      <c r="K21" s="2" t="inlineStr"/>
      <c r="L21" s="2" t="n">
        <v>0</v>
      </c>
      <c r="M21" s="2" t="inlineStr"/>
      <c r="N21" s="2" t="n">
        <v>-700</v>
      </c>
    </row>
    <row r="22">
      <c r="A22" s="2" t="inlineStr">
        <is>
          <t>Beatriz Correia</t>
        </is>
      </c>
      <c r="B22" s="2" t="inlineStr">
        <is>
          <t>Classique</t>
        </is>
      </c>
      <c r="C22" s="2" t="inlineStr"/>
      <c r="D22" s="2" t="n">
        <v>2</v>
      </c>
      <c r="E22" s="2" t="n">
        <v>0</v>
      </c>
      <c r="F22" s="2" t="n">
        <v>500</v>
      </c>
      <c r="G22" s="2" t="n">
        <v>0</v>
      </c>
      <c r="H22" s="2" t="n">
        <v>200</v>
      </c>
      <c r="I22" s="2" t="n">
        <v>700</v>
      </c>
      <c r="J22" s="2" t="inlineStr"/>
      <c r="K22" s="2" t="inlineStr"/>
      <c r="L22" s="2" t="n">
        <v>0</v>
      </c>
      <c r="M22" s="2" t="inlineStr"/>
      <c r="N22" s="2" t="n">
        <v>-700</v>
      </c>
    </row>
    <row r="23">
      <c r="A23" s="2" t="inlineStr">
        <is>
          <t>Volodia Van Keulen</t>
        </is>
      </c>
      <c r="B23" s="2" t="inlineStr">
        <is>
          <t>Classique</t>
        </is>
      </c>
      <c r="C23" s="2" t="inlineStr"/>
      <c r="D23" s="2" t="n">
        <v>2</v>
      </c>
      <c r="E23" s="2" t="n">
        <v>0</v>
      </c>
      <c r="F23" s="2" t="n">
        <v>500</v>
      </c>
      <c r="G23" s="2" t="n">
        <v>0</v>
      </c>
      <c r="H23" s="2" t="n">
        <v>150</v>
      </c>
      <c r="I23" s="2" t="n">
        <v>650</v>
      </c>
      <c r="J23" s="2" t="inlineStr"/>
      <c r="K23" s="2" t="inlineStr"/>
      <c r="L23" s="2" t="n">
        <v>0</v>
      </c>
      <c r="M23" s="2" t="inlineStr"/>
      <c r="N23" s="2" t="n">
        <v>-650</v>
      </c>
    </row>
    <row r="24">
      <c r="A24" s="2" t="inlineStr">
        <is>
          <t>Augustin Lemonnier (pianiste)</t>
        </is>
      </c>
      <c r="B24" s="2" t="inlineStr">
        <is>
          <t>Classique</t>
        </is>
      </c>
      <c r="C24" s="2" t="inlineStr"/>
      <c r="D24" s="2" t="n">
        <v>1</v>
      </c>
      <c r="E24" s="2" t="n">
        <v>0</v>
      </c>
      <c r="F24" s="2" t="n">
        <v>250</v>
      </c>
      <c r="G24" s="2" t="n">
        <v>0</v>
      </c>
      <c r="H24" s="2" t="n">
        <v>150</v>
      </c>
      <c r="I24" s="2" t="n">
        <v>400</v>
      </c>
      <c r="J24" s="2" t="inlineStr"/>
      <c r="K24" s="2" t="inlineStr"/>
      <c r="L24" s="2" t="n">
        <v>0</v>
      </c>
      <c r="M24" s="2" t="inlineStr"/>
      <c r="N24" s="2" t="n">
        <v>-400</v>
      </c>
    </row>
    <row r="25">
      <c r="A25" s="2" t="inlineStr">
        <is>
          <t>Nils Van Keulen (Masterclass)</t>
        </is>
      </c>
      <c r="B25" s="2" t="inlineStr">
        <is>
          <t>Classique</t>
        </is>
      </c>
      <c r="C25" s="2" t="inlineStr">
        <is>
          <t>Masterclass chant</t>
        </is>
      </c>
      <c r="D25" s="2" t="n">
        <v>0</v>
      </c>
      <c r="E25" s="2" t="n">
        <v>1</v>
      </c>
      <c r="F25" s="2" t="n">
        <v>0</v>
      </c>
      <c r="G25" s="2" t="n">
        <v>100</v>
      </c>
      <c r="H25" s="2" t="n">
        <v>0</v>
      </c>
      <c r="I25" s="2" t="n">
        <v>100</v>
      </c>
      <c r="J25" s="2" t="inlineStr"/>
      <c r="K25" s="2" t="inlineStr"/>
      <c r="L25" s="2" t="n">
        <v>0</v>
      </c>
      <c r="M25" s="2" t="inlineStr"/>
      <c r="N25" s="2" t="n">
        <v>-100</v>
      </c>
    </row>
    <row r="26">
      <c r="A26" s="2" t="inlineStr">
        <is>
          <t>Sylvain Septours (vient avec Lewis)</t>
        </is>
      </c>
      <c r="B26" s="2" t="inlineStr">
        <is>
          <t>Théâtre</t>
        </is>
      </c>
      <c r="C26" s="2" t="inlineStr">
        <is>
          <t>Atelier écriture</t>
        </is>
      </c>
      <c r="D26" s="2" t="n">
        <v>0</v>
      </c>
      <c r="E26" s="2" t="n">
        <v>2</v>
      </c>
      <c r="F26" s="2" t="n">
        <v>0</v>
      </c>
      <c r="G26" s="2" t="n">
        <v>200</v>
      </c>
      <c r="H26" s="2" t="n">
        <v>0</v>
      </c>
      <c r="I26" s="2" t="n">
        <v>200</v>
      </c>
      <c r="J26" s="2" t="inlineStr"/>
      <c r="K26" s="2" t="inlineStr"/>
      <c r="L26" s="2" t="n">
        <v>0</v>
      </c>
      <c r="M26" s="2" t="inlineStr"/>
      <c r="N26" s="2" t="n">
        <v>-200</v>
      </c>
    </row>
    <row r="27">
      <c r="A27" s="2" t="inlineStr">
        <is>
          <t>Marius Ponnelle (Treize Clique)</t>
        </is>
      </c>
      <c r="B27" s="2" t="inlineStr">
        <is>
          <t>Théâtre — Collectif</t>
        </is>
      </c>
      <c r="C27" s="2" t="inlineStr"/>
      <c r="D27" s="2" t="n">
        <v>1</v>
      </c>
      <c r="E27" s="2" t="n">
        <v>0</v>
      </c>
      <c r="F27" s="2" t="n">
        <v>250</v>
      </c>
      <c r="G27" s="2" t="n">
        <v>0</v>
      </c>
      <c r="H27" s="2" t="n">
        <v>150</v>
      </c>
      <c r="I27" s="2" t="n">
        <v>400</v>
      </c>
      <c r="J27" s="2" t="inlineStr"/>
      <c r="K27" s="2" t="inlineStr"/>
      <c r="L27" s="2" t="n">
        <v>0</v>
      </c>
      <c r="M27" s="2" t="inlineStr"/>
      <c r="N27" s="2" t="n">
        <v>-400</v>
      </c>
    </row>
    <row r="28">
      <c r="A28" s="2" t="inlineStr">
        <is>
          <t>Comédien 2 (Treize Clique)</t>
        </is>
      </c>
      <c r="B28" s="2" t="inlineStr">
        <is>
          <t>Théâtre — Collectif</t>
        </is>
      </c>
      <c r="C28" s="2" t="inlineStr"/>
      <c r="D28" s="2" t="n">
        <v>1</v>
      </c>
      <c r="E28" s="2" t="n">
        <v>0</v>
      </c>
      <c r="F28" s="2" t="n">
        <v>250</v>
      </c>
      <c r="G28" s="2" t="n">
        <v>0</v>
      </c>
      <c r="H28" s="2" t="n">
        <v>150</v>
      </c>
      <c r="I28" s="2" t="n">
        <v>400</v>
      </c>
      <c r="J28" s="2" t="inlineStr"/>
      <c r="K28" s="2" t="inlineStr"/>
      <c r="L28" s="2" t="n">
        <v>0</v>
      </c>
      <c r="M28" s="2" t="inlineStr"/>
      <c r="N28" s="2" t="n">
        <v>-400</v>
      </c>
    </row>
    <row r="29">
      <c r="A29" s="2" t="inlineStr">
        <is>
          <t>Comédien 3 (Treize Clique)</t>
        </is>
      </c>
      <c r="B29" s="2" t="inlineStr">
        <is>
          <t>Théâtre — Collectif</t>
        </is>
      </c>
      <c r="C29" s="2" t="inlineStr"/>
      <c r="D29" s="2" t="n">
        <v>1</v>
      </c>
      <c r="E29" s="2" t="n">
        <v>0</v>
      </c>
      <c r="F29" s="2" t="n">
        <v>250</v>
      </c>
      <c r="G29" s="2" t="n">
        <v>0</v>
      </c>
      <c r="H29" s="2" t="n">
        <v>150</v>
      </c>
      <c r="I29" s="2" t="n">
        <v>400</v>
      </c>
      <c r="J29" s="2" t="inlineStr"/>
      <c r="K29" s="2" t="inlineStr"/>
      <c r="L29" s="2" t="n">
        <v>0</v>
      </c>
      <c r="M29" s="2" t="inlineStr"/>
      <c r="N29" s="2" t="n">
        <v>-400</v>
      </c>
    </row>
    <row r="30">
      <c r="A30" s="2" t="inlineStr">
        <is>
          <t>Lewis (famille)</t>
        </is>
      </c>
      <c r="B30" s="2" t="inlineStr">
        <is>
          <t>Théâtre</t>
        </is>
      </c>
      <c r="C30" s="2" t="inlineStr">
        <is>
          <t>Éloquence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/>
      <c r="K30" s="2" t="inlineStr"/>
      <c r="L30" s="2" t="n">
        <v>0</v>
      </c>
      <c r="M30" s="2" t="inlineStr"/>
      <c r="N30" s="2" t="n">
        <v>0</v>
      </c>
    </row>
    <row r="31">
      <c r="A31" s="2" t="inlineStr">
        <is>
          <t>Cie Nenni ma foi - Patatra (4 art.)</t>
        </is>
      </c>
      <c r="B31" s="2" t="inlineStr">
        <is>
          <t>Théâtre — Coll AP</t>
        </is>
      </c>
      <c r="C31" s="2" t="inlineStr"/>
      <c r="D31" s="2" t="n">
        <v>4</v>
      </c>
      <c r="E31" s="2" t="n">
        <v>0</v>
      </c>
      <c r="F31" s="2" t="n">
        <v>1000</v>
      </c>
      <c r="G31" s="2" t="n">
        <v>0</v>
      </c>
      <c r="H31" s="2" t="n">
        <v>0</v>
      </c>
      <c r="I31" s="2" t="n">
        <v>1000</v>
      </c>
      <c r="J31" s="2" t="inlineStr"/>
      <c r="K31" s="2" t="inlineStr"/>
      <c r="L31" s="2" t="n">
        <v>0</v>
      </c>
      <c r="M31" s="2" t="inlineStr"/>
      <c r="N31" s="2" t="n">
        <v>-1000</v>
      </c>
    </row>
    <row r="32">
      <c r="A32" s="2" t="inlineStr">
        <is>
          <t>Cie Vous faites un feu? (2 art.)</t>
        </is>
      </c>
      <c r="B32" s="2" t="inlineStr">
        <is>
          <t>Théâtre — Coll AP</t>
        </is>
      </c>
      <c r="C32" s="2" t="inlineStr"/>
      <c r="D32" s="2" t="n">
        <v>2</v>
      </c>
      <c r="E32" s="2" t="n">
        <v>0</v>
      </c>
      <c r="F32" s="2" t="n">
        <v>500</v>
      </c>
      <c r="G32" s="2" t="n">
        <v>0</v>
      </c>
      <c r="H32" s="2" t="n">
        <v>0</v>
      </c>
      <c r="I32" s="2" t="n">
        <v>500</v>
      </c>
      <c r="J32" s="2" t="inlineStr"/>
      <c r="K32" s="2" t="inlineStr"/>
      <c r="L32" s="2" t="n">
        <v>0</v>
      </c>
      <c r="M32" s="2" t="inlineStr"/>
      <c r="N32" s="2" t="n">
        <v>-500</v>
      </c>
    </row>
    <row r="33">
      <c r="A33" s="2" t="inlineStr">
        <is>
          <t>Cie Derrière le mur - Trafic (2 art.)</t>
        </is>
      </c>
      <c r="B33" s="2" t="inlineStr">
        <is>
          <t>Théâtre — Coll AP</t>
        </is>
      </c>
      <c r="C33" s="2" t="inlineStr"/>
      <c r="D33" s="2" t="n">
        <v>2</v>
      </c>
      <c r="E33" s="2" t="n">
        <v>0</v>
      </c>
      <c r="F33" s="2" t="n">
        <v>500</v>
      </c>
      <c r="G33" s="2" t="n">
        <v>0</v>
      </c>
      <c r="H33" s="2" t="n">
        <v>0</v>
      </c>
      <c r="I33" s="2" t="n">
        <v>500</v>
      </c>
      <c r="J33" s="2" t="inlineStr"/>
      <c r="K33" s="2" t="inlineStr"/>
      <c r="L33" s="2" t="n">
        <v>0</v>
      </c>
      <c r="M33" s="2" t="inlineStr"/>
      <c r="N33" s="2" t="n">
        <v>-500</v>
      </c>
    </row>
    <row r="34">
      <c r="A34" s="2" t="inlineStr">
        <is>
          <t>Cie L'Entre - V.I.E.N.S dimanche (3 art.)</t>
        </is>
      </c>
      <c r="B34" s="2" t="inlineStr">
        <is>
          <t>Théâtre — Coll AP</t>
        </is>
      </c>
      <c r="C34" s="2" t="inlineStr"/>
      <c r="D34" s="2" t="n">
        <v>3</v>
      </c>
      <c r="E34" s="2" t="n">
        <v>0</v>
      </c>
      <c r="F34" s="2" t="n">
        <v>750</v>
      </c>
      <c r="G34" s="2" t="n">
        <v>0</v>
      </c>
      <c r="H34" s="2" t="n">
        <v>0</v>
      </c>
      <c r="I34" s="2" t="n">
        <v>750</v>
      </c>
      <c r="J34" s="2" t="inlineStr"/>
      <c r="K34" s="2" t="inlineStr"/>
      <c r="L34" s="2" t="n">
        <v>0</v>
      </c>
      <c r="M34" s="2" t="inlineStr"/>
      <c r="N34" s="2" t="n">
        <v>-750</v>
      </c>
    </row>
    <row r="35">
      <c r="A35" s="2" t="inlineStr">
        <is>
          <t>À travers la fenêtre des heures (2 art.) - Belgique</t>
        </is>
      </c>
      <c r="B35" s="2" t="inlineStr">
        <is>
          <t>Classique — Coll</t>
        </is>
      </c>
      <c r="C35" s="2" t="inlineStr"/>
      <c r="D35" s="2" t="n">
        <v>2</v>
      </c>
      <c r="E35" s="2" t="n">
        <v>0</v>
      </c>
      <c r="F35" s="2" t="n">
        <v>500</v>
      </c>
      <c r="G35" s="2" t="n">
        <v>0</v>
      </c>
      <c r="H35" s="2" t="n">
        <v>400</v>
      </c>
      <c r="I35" s="2" t="n">
        <v>900</v>
      </c>
      <c r="J35" s="2" t="inlineStr"/>
      <c r="K35" s="2" t="inlineStr"/>
      <c r="L35" s="2" t="n">
        <v>0</v>
      </c>
      <c r="M35" s="2" t="inlineStr"/>
      <c r="N35" s="2" t="n">
        <v>-900</v>
      </c>
    </row>
    <row r="36">
      <c r="A36" s="20" t="inlineStr">
        <is>
          <t>TOTAL ARTISTES</t>
        </is>
      </c>
      <c r="B36" s="20" t="n"/>
      <c r="C36" s="20" t="n"/>
      <c r="D36" s="20">
        <f>SUM(D3:D35)</f>
        <v/>
      </c>
      <c r="E36" s="20">
        <f>SUM(E3:E35)</f>
        <v/>
      </c>
      <c r="F36" s="20">
        <f>SUM(F3:F35)</f>
        <v/>
      </c>
      <c r="G36" s="20">
        <f>SUM(G3:G35)</f>
        <v/>
      </c>
      <c r="H36" s="20">
        <f>SUM(H3:H35)</f>
        <v/>
      </c>
      <c r="I36" s="20">
        <f>SUM(I3:I35)</f>
        <v/>
      </c>
      <c r="J36" s="20">
        <f>SUM(J3:J35)</f>
        <v/>
      </c>
      <c r="K36" s="20">
        <f>SUM(K3:K35)</f>
        <v/>
      </c>
      <c r="L36" s="20">
        <f>SUM(L3:L35)</f>
        <v/>
      </c>
      <c r="M36" s="20" t="n"/>
      <c r="N36" s="20">
        <f>SUM(N3:N35)</f>
        <v/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10" defaultColWidth="8.88671875" defaultRowHeight="14.4"/>
  <cols>
    <col width="25" customWidth="1" style="18" min="1" max="1"/>
    <col width="35" customWidth="1" style="18" min="2" max="2"/>
    <col width="16" customWidth="1" style="18" min="3" max="5"/>
  </cols>
  <sheetData>
    <row r="1" ht="15.6" customHeight="1" s="18">
      <c r="A1" s="17" t="inlineStr">
        <is>
          <t>LOGISTIQUE — Dépenses</t>
        </is>
      </c>
    </row>
    <row r="3">
      <c r="A3" s="1" t="inlineStr">
        <is>
          <t>Date</t>
        </is>
      </c>
      <c r="B3" s="1" t="inlineStr">
        <is>
          <t>Description</t>
        </is>
      </c>
      <c r="C3" s="1" t="inlineStr">
        <is>
          <t>Prévu</t>
        </is>
      </c>
      <c r="D3" s="1" t="inlineStr">
        <is>
          <t>Réel</t>
        </is>
      </c>
      <c r="E3" s="1" t="inlineStr">
        <is>
          <t>Écart</t>
        </is>
      </c>
    </row>
    <row r="4">
      <c r="A4" s="15" t="n"/>
      <c r="B4" s="2" t="inlineStr">
        <is>
          <t>Location salle / terrain</t>
        </is>
      </c>
      <c r="C4" s="5" t="n">
        <v>3000</v>
      </c>
      <c r="D4" s="5" t="n"/>
      <c r="E4" s="5">
        <f>D4-C4</f>
        <v/>
      </c>
    </row>
    <row r="5">
      <c r="A5" s="15" t="n"/>
      <c r="B5" s="2" t="inlineStr">
        <is>
          <t>Sonorisation</t>
        </is>
      </c>
      <c r="C5" s="5" t="n">
        <v>3000</v>
      </c>
      <c r="D5" s="5" t="n"/>
      <c r="E5" s="5">
        <f>D5-C5</f>
        <v/>
      </c>
    </row>
    <row r="6">
      <c r="A6" s="15" t="n"/>
      <c r="B6" s="2" t="inlineStr">
        <is>
          <t>Éclairage / lumière</t>
        </is>
      </c>
      <c r="C6" s="5" t="n">
        <v>2000</v>
      </c>
      <c r="D6" s="5" t="n"/>
      <c r="E6" s="5">
        <f>D6-C6</f>
        <v/>
      </c>
    </row>
    <row r="7">
      <c r="A7" s="15" t="n"/>
      <c r="B7" s="2" t="inlineStr">
        <is>
          <t>Scène / podium</t>
        </is>
      </c>
      <c r="C7" s="5" t="n">
        <v>2000</v>
      </c>
      <c r="D7" s="5" t="n"/>
      <c r="E7" s="5">
        <f>D7-C7</f>
        <v/>
      </c>
    </row>
    <row r="8">
      <c r="A8" s="15" t="n"/>
      <c r="B8" s="2" t="inlineStr">
        <is>
          <t>Toilettes / sanitaires</t>
        </is>
      </c>
      <c r="C8" s="5" t="n">
        <v>1500</v>
      </c>
      <c r="D8" s="5" t="n"/>
      <c r="E8" s="5">
        <f>D8-C8</f>
        <v/>
      </c>
    </row>
    <row r="9">
      <c r="A9" s="15" t="n"/>
      <c r="B9" s="2" t="inlineStr">
        <is>
          <t>Électricité / groupe électrogène</t>
        </is>
      </c>
      <c r="C9" s="5" t="n">
        <v>1500</v>
      </c>
      <c r="D9" s="5" t="n"/>
      <c r="E9" s="5">
        <f>D9-C9</f>
        <v/>
      </c>
    </row>
    <row r="10">
      <c r="A10" s="15" t="n"/>
      <c r="B10" s="2" t="inlineStr">
        <is>
          <t>Barrières / sécurité</t>
        </is>
      </c>
      <c r="C10" s="5" t="n">
        <v>1000</v>
      </c>
      <c r="D10" s="5" t="n"/>
      <c r="E10" s="5">
        <f>D10-C10</f>
        <v/>
      </c>
    </row>
    <row r="11">
      <c r="A11" s="15" t="n"/>
      <c r="B11" s="2" t="inlineStr">
        <is>
          <t>Mobilier (tables, chaises, tentes)</t>
        </is>
      </c>
      <c r="C11" s="5" t="n">
        <v>1000</v>
      </c>
      <c r="D11" s="5" t="n"/>
      <c r="E11" s="5">
        <f>D11-C11</f>
        <v/>
      </c>
    </row>
    <row r="12">
      <c r="A12" s="15" t="n"/>
      <c r="B12" s="2" t="n"/>
      <c r="C12" s="5" t="n"/>
      <c r="D12" s="5" t="n"/>
      <c r="E12" s="5">
        <f>D12-C12</f>
        <v/>
      </c>
    </row>
    <row r="13">
      <c r="A13" s="15" t="n"/>
      <c r="B13" s="2" t="n"/>
      <c r="C13" s="5" t="n"/>
      <c r="D13" s="5" t="n"/>
      <c r="E13" s="5">
        <f>D13-C13</f>
        <v/>
      </c>
    </row>
    <row r="14">
      <c r="A14" s="15" t="n"/>
      <c r="B14" s="2" t="n"/>
      <c r="C14" s="5" t="n"/>
      <c r="D14" s="5" t="n"/>
      <c r="E14" s="5">
        <f>D14-C14</f>
        <v/>
      </c>
    </row>
    <row r="15">
      <c r="A15" s="15" t="n"/>
      <c r="B15" s="2" t="n"/>
      <c r="C15" s="5" t="n"/>
      <c r="D15" s="5" t="n"/>
      <c r="E15" s="5">
        <f>D15-C15</f>
        <v/>
      </c>
    </row>
    <row r="16">
      <c r="A16" s="15" t="n"/>
      <c r="B16" s="2" t="n"/>
      <c r="C16" s="5" t="n"/>
      <c r="D16" s="5" t="n"/>
      <c r="E16" s="5">
        <f>D16-C16</f>
        <v/>
      </c>
    </row>
    <row r="18">
      <c r="A18" s="6" t="inlineStr">
        <is>
          <t>TOTAL LOGISTIQUE</t>
        </is>
      </c>
      <c r="B18" s="6" t="n"/>
      <c r="C18" s="7">
        <f>SUM(C4:C16)</f>
        <v/>
      </c>
      <c r="D18" s="7">
        <f>SUM(D4:D16)</f>
        <v/>
      </c>
      <c r="E18" s="7">
        <f>SUM(E4:E16)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:F1"/>
    </sheetView>
  </sheetViews>
  <sheetFormatPr baseColWidth="10" defaultColWidth="8.88671875" defaultRowHeight="14.4"/>
  <cols>
    <col width="35" customWidth="1" style="18" min="1" max="2"/>
    <col width="11" customWidth="1" style="18" min="3" max="3"/>
    <col width="17" customWidth="1" style="18" min="4" max="6"/>
  </cols>
  <sheetData>
    <row r="1" ht="15.6" customHeight="1" s="18">
      <c r="A1" s="17" t="inlineStr">
        <is>
          <t>FRAIS DIVERS — Recettes &amp; Dépenses</t>
        </is>
      </c>
    </row>
    <row r="3" ht="15.6" customHeight="1" s="18">
      <c r="A3" s="17" t="inlineStr">
        <is>
          <t>Recettes (subventions, dons, sponsors)</t>
        </is>
      </c>
    </row>
    <row r="5">
      <c r="A5" s="1" t="inlineStr">
        <is>
          <t>Date</t>
        </is>
      </c>
      <c r="B5" s="1" t="inlineStr">
        <is>
          <t>Description</t>
        </is>
      </c>
      <c r="C5" s="1" t="inlineStr">
        <is>
          <t>Type</t>
        </is>
      </c>
      <c r="D5" s="1" t="inlineStr">
        <is>
          <t>Prévu</t>
        </is>
      </c>
      <c r="E5" s="1" t="inlineStr">
        <is>
          <t>Réel</t>
        </is>
      </c>
      <c r="F5" s="1" t="inlineStr">
        <is>
          <t>Écart</t>
        </is>
      </c>
    </row>
    <row r="6">
      <c r="A6" s="15" t="n"/>
      <c r="B6" s="2" t="n"/>
      <c r="C6" s="2" t="n"/>
      <c r="D6" s="5" t="n"/>
      <c r="E6" s="5" t="n"/>
      <c r="F6" s="5">
        <f>E6-D6</f>
        <v/>
      </c>
    </row>
    <row r="7">
      <c r="A7" s="15" t="n"/>
      <c r="B7" s="2" t="n"/>
      <c r="C7" s="2" t="n"/>
      <c r="D7" s="5" t="n"/>
      <c r="E7" s="5" t="n"/>
      <c r="F7" s="5">
        <f>E7-D7</f>
        <v/>
      </c>
    </row>
    <row r="8">
      <c r="A8" s="15" t="n"/>
      <c r="B8" s="2" t="n"/>
      <c r="C8" s="2" t="n"/>
      <c r="D8" s="5" t="n"/>
      <c r="E8" s="5" t="n"/>
      <c r="F8" s="5">
        <f>E8-D8</f>
        <v/>
      </c>
    </row>
    <row r="9">
      <c r="A9" s="15" t="n"/>
      <c r="B9" s="2" t="n"/>
      <c r="C9" s="2" t="n"/>
      <c r="D9" s="5" t="n"/>
      <c r="E9" s="5" t="n"/>
      <c r="F9" s="5">
        <f>E9-D9</f>
        <v/>
      </c>
    </row>
    <row r="10">
      <c r="A10" s="15" t="n"/>
      <c r="B10" s="2" t="n"/>
      <c r="C10" s="2" t="n"/>
      <c r="D10" s="5" t="n"/>
      <c r="E10" s="5" t="n"/>
      <c r="F10" s="5">
        <f>E10-D10</f>
        <v/>
      </c>
    </row>
    <row r="12">
      <c r="A12" s="6" t="inlineStr">
        <is>
          <t>TOTAL RECETTES DIVERS</t>
        </is>
      </c>
      <c r="B12" s="6" t="n"/>
      <c r="C12" s="6" t="n"/>
      <c r="D12" s="7">
        <f>SUM(D6:D10)</f>
        <v/>
      </c>
      <c r="E12" s="7">
        <f>SUM(E6:E10)</f>
        <v/>
      </c>
      <c r="F12" s="7">
        <f>SUM(F6:F10)</f>
        <v/>
      </c>
    </row>
    <row r="14" ht="15.6" customHeight="1" s="18">
      <c r="A14" s="17" t="inlineStr">
        <is>
          <t>Dépenses (SACEM, communication, assurance, admin, imprévus)</t>
        </is>
      </c>
    </row>
    <row r="16">
      <c r="A16" s="1" t="inlineStr">
        <is>
          <t>Date</t>
        </is>
      </c>
      <c r="B16" s="1" t="inlineStr">
        <is>
          <t>Description</t>
        </is>
      </c>
      <c r="C16" s="1" t="inlineStr">
        <is>
          <t>Type</t>
        </is>
      </c>
      <c r="D16" s="1" t="inlineStr">
        <is>
          <t>Prévu</t>
        </is>
      </c>
      <c r="E16" s="1" t="inlineStr">
        <is>
          <t>Réel</t>
        </is>
      </c>
      <c r="F16" s="1" t="inlineStr">
        <is>
          <t>Écart</t>
        </is>
      </c>
    </row>
    <row r="17">
      <c r="A17" s="15" t="n"/>
      <c r="B17" s="2" t="inlineStr">
        <is>
          <t>SACEM Billetterie (8,8%)</t>
        </is>
      </c>
      <c r="C17" s="2" t="inlineStr">
        <is>
          <t>Dépense</t>
        </is>
      </c>
      <c r="D17" s="5" t="n">
        <v>1993</v>
      </c>
      <c r="E17" s="5" t="n"/>
      <c r="F17" s="5">
        <f>E17-D17</f>
        <v/>
      </c>
    </row>
    <row r="18">
      <c r="A18" s="15" t="n"/>
      <c r="B18" s="2" t="inlineStr">
        <is>
          <t>SACEM Restauration/Buvettes (4,4%)</t>
        </is>
      </c>
      <c r="C18" s="2" t="inlineStr">
        <is>
          <t>Dépense</t>
        </is>
      </c>
      <c r="D18" s="5" t="n">
        <v>1427</v>
      </c>
      <c r="E18" s="5" t="n"/>
      <c r="F18" s="5">
        <f>E18-D18</f>
        <v/>
      </c>
    </row>
    <row r="19">
      <c r="A19" s="15" t="n"/>
      <c r="B19" s="2" t="inlineStr">
        <is>
          <t>Assurance événement</t>
        </is>
      </c>
      <c r="C19" s="2" t="inlineStr">
        <is>
          <t>Dépense</t>
        </is>
      </c>
      <c r="D19" s="5" t="n">
        <v>1000</v>
      </c>
      <c r="E19" s="5" t="n"/>
      <c r="F19" s="5">
        <f>E19-D19</f>
        <v/>
      </c>
    </row>
    <row r="20">
      <c r="A20" s="15" t="n"/>
      <c r="B20" s="2" t="inlineStr">
        <is>
          <t>Communication (affiches, flyers, vidéo)</t>
        </is>
      </c>
      <c r="C20" s="2" t="inlineStr">
        <is>
          <t>Dépense</t>
        </is>
      </c>
      <c r="D20" s="5" t="n">
        <v>1000</v>
      </c>
      <c r="E20" s="5" t="n"/>
      <c r="F20" s="5">
        <f>E20-D20</f>
        <v/>
      </c>
    </row>
    <row r="21">
      <c r="A21" s="15" t="n"/>
      <c r="B21" s="2" t="inlineStr">
        <is>
          <t>Frais administratifs</t>
        </is>
      </c>
      <c r="C21" s="2" t="inlineStr">
        <is>
          <t>Dépense</t>
        </is>
      </c>
      <c r="D21" s="5" t="n">
        <v>500</v>
      </c>
      <c r="E21" s="5" t="n"/>
      <c r="F21" s="5">
        <f>E21-D21</f>
        <v/>
      </c>
    </row>
    <row r="22">
      <c r="A22" s="15" t="n"/>
      <c r="B22" s="2" t="inlineStr">
        <is>
          <t>Imprévus</t>
        </is>
      </c>
      <c r="C22" s="2" t="inlineStr">
        <is>
          <t>Dépense</t>
        </is>
      </c>
      <c r="D22" s="5" t="n">
        <v>500</v>
      </c>
      <c r="E22" s="5" t="n"/>
      <c r="F22" s="5">
        <f>E22-D22</f>
        <v/>
      </c>
    </row>
    <row r="23">
      <c r="A23" s="15" t="n"/>
      <c r="B23" s="2" t="n"/>
      <c r="C23" s="2" t="n"/>
      <c r="D23" s="5" t="n"/>
      <c r="E23" s="5" t="n"/>
      <c r="F23" s="5">
        <f>E23-D23</f>
        <v/>
      </c>
    </row>
    <row r="24">
      <c r="A24" s="15" t="n"/>
      <c r="B24" s="2" t="n"/>
      <c r="C24" s="2" t="n"/>
      <c r="D24" s="5" t="n"/>
      <c r="E24" s="5" t="n"/>
      <c r="F24" s="5">
        <f>E24-D24</f>
        <v/>
      </c>
    </row>
    <row r="25">
      <c r="A25" s="15" t="n"/>
      <c r="B25" s="2" t="n"/>
      <c r="C25" s="2" t="n"/>
      <c r="D25" s="5" t="n"/>
      <c r="E25" s="5" t="n"/>
      <c r="F25" s="5">
        <f>E25-D25</f>
        <v/>
      </c>
    </row>
    <row r="26">
      <c r="A26" s="15" t="n"/>
      <c r="B26" s="2" t="n"/>
      <c r="C26" s="2" t="n"/>
      <c r="D26" s="5" t="n"/>
      <c r="E26" s="5" t="n"/>
      <c r="F26" s="5">
        <f>E26-D26</f>
        <v/>
      </c>
    </row>
    <row r="27">
      <c r="A27" s="15" t="n"/>
      <c r="B27" s="2" t="n"/>
      <c r="C27" s="2" t="n"/>
      <c r="D27" s="5" t="n"/>
      <c r="E27" s="5" t="n"/>
      <c r="F27" s="5">
        <f>E27-D27</f>
        <v/>
      </c>
    </row>
    <row r="29">
      <c r="A29" s="6" t="inlineStr">
        <is>
          <t>TOTAL DÉPENSES DIVERS</t>
        </is>
      </c>
      <c r="B29" s="6" t="n"/>
      <c r="C29" s="6" t="n"/>
      <c r="D29" s="7">
        <f>SUM(D17:D27)</f>
        <v/>
      </c>
      <c r="E29" s="7">
        <f>SUM(E17:E27)</f>
        <v/>
      </c>
      <c r="F29" s="7">
        <f>SUM(F17:F27)</f>
        <v/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:F1"/>
    </sheetView>
  </sheetViews>
  <sheetFormatPr baseColWidth="10" defaultColWidth="8.88671875" defaultRowHeight="14.4"/>
  <cols>
    <col width="30" customWidth="1" style="18" min="1" max="1"/>
    <col width="13" customWidth="1" style="18" min="2" max="2"/>
    <col width="15" customWidth="1" style="18" min="3" max="3"/>
    <col width="16" customWidth="1" style="18" min="4" max="6"/>
  </cols>
  <sheetData>
    <row r="1" ht="15.6" customHeight="1" s="18">
      <c r="A1" s="17" t="inlineStr">
        <is>
          <t>TRÉSORERIE — Flux par date</t>
        </is>
      </c>
    </row>
    <row r="3">
      <c r="A3" s="6" t="inlineStr">
        <is>
          <t>Solde initial</t>
        </is>
      </c>
      <c r="B3" s="6" t="n"/>
      <c r="C3" s="6" t="n"/>
      <c r="D3" s="7" t="n">
        <v>0</v>
      </c>
      <c r="E3" s="6" t="n"/>
      <c r="F3" s="7" t="n">
        <v>0</v>
      </c>
    </row>
    <row r="4">
      <c r="A4" s="22" t="inlineStr">
        <is>
          <t>23/04/2026</t>
        </is>
      </c>
      <c r="B4" s="22" t="inlineStr">
        <is>
          <t>Crowdfunding HelloAsso</t>
        </is>
      </c>
      <c r="C4" s="22" t="inlineStr">
        <is>
          <t>Cumul dons collectés au 23/04 (14 dons)</t>
        </is>
      </c>
      <c r="D4" s="22" t="n">
        <v>845</v>
      </c>
      <c r="E4" s="22" t="inlineStr"/>
      <c r="F4" s="22">
        <f>D2+D4-E4</f>
        <v/>
      </c>
    </row>
    <row r="5">
      <c r="A5" s="22" t="inlineStr">
        <is>
          <t>20/04/2026</t>
        </is>
      </c>
      <c r="B5" s="22" t="inlineStr">
        <is>
          <t>Don manuel Charles</t>
        </is>
      </c>
      <c r="C5" s="22" t="inlineStr">
        <is>
          <t>Don manuel par virement Qonto</t>
        </is>
      </c>
      <c r="D5" s="22" t="n">
        <v>1000</v>
      </c>
      <c r="E5" s="22" t="inlineStr"/>
      <c r="F5" s="22">
        <f>F4+D5-E5</f>
        <v/>
      </c>
    </row>
    <row r="6">
      <c r="A6" s="22" t="inlineStr">
        <is>
          <t>Avr-Mai 2026</t>
        </is>
      </c>
      <c r="B6" s="22" t="inlineStr">
        <is>
          <t>Frais divers</t>
        </is>
      </c>
      <c r="C6" s="22" t="inlineStr">
        <is>
          <t>Petites dépenses opérationnelles (cumul estimation)</t>
        </is>
      </c>
      <c r="D6" s="22" t="inlineStr"/>
      <c r="E6" s="22" t="n">
        <v>255</v>
      </c>
      <c r="F6" s="22">
        <f>F5+D6-E6</f>
        <v/>
      </c>
    </row>
    <row r="7">
      <c r="A7" s="22" t="inlineStr">
        <is>
          <t>01/05/2026</t>
        </is>
      </c>
      <c r="B7" s="22" t="inlineStr">
        <is>
          <t>Crowdfunding HelloAsso</t>
        </is>
      </c>
      <c r="C7" s="22" t="inlineStr">
        <is>
          <t>Cumul dons supplémentaires (23/04 → 01/05)</t>
        </is>
      </c>
      <c r="D7" s="22" t="n">
        <v>360</v>
      </c>
      <c r="E7" s="22" t="inlineStr"/>
      <c r="F7" s="22">
        <f>F6+D7-E7</f>
        <v/>
      </c>
    </row>
    <row r="8">
      <c r="A8" s="23" t="inlineStr">
        <is>
          <t>TOTAUX</t>
        </is>
      </c>
      <c r="B8" s="23" t="n"/>
      <c r="C8" s="23" t="n"/>
      <c r="D8" s="23">
        <f>SUM(D4:D7)</f>
        <v/>
      </c>
      <c r="E8" s="23">
        <f>SUM(E4:E7)</f>
        <v/>
      </c>
      <c r="F8" s="23">
        <f>F7</f>
        <v/>
      </c>
    </row>
    <row r="10">
      <c r="A10" s="24" t="inlineStr">
        <is>
          <t>SOLDE Qonto au 01/05/2026 (estimation)</t>
        </is>
      </c>
      <c r="F10" s="25">
        <f>F7</f>
        <v/>
      </c>
    </row>
  </sheetData>
  <mergeCells count="1">
    <mergeCell ref="A1:F1"/>
  </mergeCells>
  <dataValidations count="1">
    <dataValidation sqref="B5:B34" showDropDown="0" showInputMessage="0" showErrorMessage="0" allowBlank="0" error="Choisir une catégorie" type="list">
      <formula1>"Crowdfunding,Billetterie,F&amp;B,Ateliers,Artistes,Logistique,Frais divers"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2026-04-04T15:53:24Z</dcterms:created>
  <dcterms:modified xmlns:dcterms="http://purl.org/dc/terms/" xmlns:xsi="http://www.w3.org/2001/XMLSchema-instance" xsi:type="dcterms:W3CDTF">2026-05-03T12:32:47Z</dcterms:modified>
  <cp:lastModifiedBy>Charles JANIER DUBRY</cp:lastModifiedBy>
</cp:coreProperties>
</file>