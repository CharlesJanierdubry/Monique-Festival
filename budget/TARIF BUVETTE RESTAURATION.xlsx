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Monique-Festival\budget\"/>
    </mc:Choice>
  </mc:AlternateContent>
  <xr:revisionPtr revIDLastSave="0" documentId="13_ncr:1_{6040A349-1B24-4173-BE01-74DEB390326E}" xr6:coauthVersionLast="47" xr6:coauthVersionMax="47" xr10:uidLastSave="{00000000-0000-0000-0000-000000000000}"/>
  <bookViews>
    <workbookView xWindow="6480" yWindow="-19845" windowWidth="31095" windowHeight="18360" xr2:uid="{1E41B1F6-B5DB-4C70-96D2-CFE85825E59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N24" i="1"/>
  <c r="J40" i="1"/>
  <c r="J39" i="1"/>
  <c r="J36" i="1"/>
  <c r="J34" i="1"/>
  <c r="J27" i="1"/>
  <c r="J26" i="1"/>
  <c r="J24" i="1"/>
  <c r="J25" i="1"/>
  <c r="J23" i="1"/>
  <c r="G22" i="1"/>
  <c r="J22" i="1" s="1"/>
  <c r="J19" i="1"/>
  <c r="J20" i="1"/>
  <c r="J21" i="1"/>
  <c r="J18" i="1"/>
  <c r="F17" i="1"/>
  <c r="E17" i="1" s="1"/>
  <c r="F15" i="1"/>
  <c r="E15" i="1" s="1"/>
  <c r="J14" i="1"/>
  <c r="E12" i="1"/>
  <c r="J12" i="1"/>
  <c r="E11" i="1"/>
  <c r="J11" i="1"/>
  <c r="J9" i="1"/>
  <c r="J8" i="1"/>
  <c r="E9" i="1"/>
  <c r="E8" i="1"/>
  <c r="G10" i="1"/>
  <c r="J10" i="1" s="1"/>
  <c r="J6" i="1"/>
  <c r="J5" i="1"/>
  <c r="J4" i="1"/>
  <c r="J3" i="1"/>
</calcChain>
</file>

<file path=xl/sharedStrings.xml><?xml version="1.0" encoding="utf-8"?>
<sst xmlns="http://schemas.openxmlformats.org/spreadsheetml/2006/main" count="223" uniqueCount="99">
  <si>
    <t>SIROP</t>
  </si>
  <si>
    <t>JUS DE POMME</t>
  </si>
  <si>
    <t>EAU PLATE</t>
  </si>
  <si>
    <t>GUILLAUME</t>
  </si>
  <si>
    <t>VERRE</t>
  </si>
  <si>
    <t>CAFE</t>
  </si>
  <si>
    <t>ECOCUP</t>
  </si>
  <si>
    <t>CONSIGNE</t>
  </si>
  <si>
    <t>HYPER BOISSON</t>
  </si>
  <si>
    <t>SAVEUR DE LA FERME</t>
  </si>
  <si>
    <t>REPRISE INVENDU</t>
  </si>
  <si>
    <t>??</t>
  </si>
  <si>
    <t>1000 PIECES</t>
  </si>
  <si>
    <t>ATOMIC</t>
  </si>
  <si>
    <t>OUI</t>
  </si>
  <si>
    <t>AVANCE</t>
  </si>
  <si>
    <t>NON</t>
  </si>
  <si>
    <t>KILO</t>
  </si>
  <si>
    <t>PERCOLATEUR</t>
  </si>
  <si>
    <t>RESTAURATION</t>
  </si>
  <si>
    <t>COMTE</t>
  </si>
  <si>
    <t>MORBIER</t>
  </si>
  <si>
    <t>HOPITAUX VIEUX</t>
  </si>
  <si>
    <t>FERME LIGNY</t>
  </si>
  <si>
    <t>SAUCISSE PAYSANNE</t>
  </si>
  <si>
    <t>LARD FUME</t>
  </si>
  <si>
    <t>JAMBON BLANC</t>
  </si>
  <si>
    <t>BRUNO</t>
  </si>
  <si>
    <t>TOMATES CERISE</t>
  </si>
  <si>
    <t>FRITES</t>
  </si>
  <si>
    <t>SELS</t>
  </si>
  <si>
    <t>HUILE</t>
  </si>
  <si>
    <t>KETCHUP/MAYO</t>
  </si>
  <si>
    <t>POP CORN</t>
  </si>
  <si>
    <t>MACHINE LOCATION</t>
  </si>
  <si>
    <t>GOBELET</t>
  </si>
  <si>
    <t>SUCRE</t>
  </si>
  <si>
    <t>ERHARD</t>
  </si>
  <si>
    <t>2.5 L</t>
  </si>
  <si>
    <t>BOULES</t>
  </si>
  <si>
    <t>CONGELATEUR</t>
  </si>
  <si>
    <t>?? STOCK DANS CAMION REFRIGERE</t>
  </si>
  <si>
    <t>PAIN</t>
  </si>
  <si>
    <t>POMME</t>
  </si>
  <si>
    <t>PRODUIT</t>
  </si>
  <si>
    <t>FOURNISSEUR</t>
  </si>
  <si>
    <t>CATEGORIE</t>
  </si>
  <si>
    <t>BOISSON</t>
  </si>
  <si>
    <t>EAU PETILLANTE BISONTINE</t>
  </si>
  <si>
    <t>VIN GUILLAUME</t>
  </si>
  <si>
    <t>VIN CHARDONNAY</t>
  </si>
  <si>
    <t>VIN JURA TRADITION</t>
  </si>
  <si>
    <t>LE PINTADIER</t>
  </si>
  <si>
    <t>350 g</t>
  </si>
  <si>
    <t>TRANCHE</t>
  </si>
  <si>
    <t>MINIMUM ACHATS</t>
  </si>
  <si>
    <t>PRIX UNITAIRE</t>
  </si>
  <si>
    <t>PRIX CARTON</t>
  </si>
  <si>
    <t>MORTUACIENNE LIMONADE</t>
  </si>
  <si>
    <t>ŒUF</t>
  </si>
  <si>
    <t>NOMBRE D'UNITES</t>
  </si>
  <si>
    <t>UNITES</t>
  </si>
  <si>
    <t>COUT PAR UNITE</t>
  </si>
  <si>
    <t>1 LITRES</t>
  </si>
  <si>
    <t>???</t>
  </si>
  <si>
    <t>petites bouteilles</t>
  </si>
  <si>
    <t>Cubi 5 L</t>
  </si>
  <si>
    <t>Poche 3 L</t>
  </si>
  <si>
    <t>CARTON DE 6</t>
  </si>
  <si>
    <t>CARTON DE 12</t>
  </si>
  <si>
    <t>??4</t>
  </si>
  <si>
    <t>BIERE BLONDE</t>
  </si>
  <si>
    <t>FUT 40 L X 4</t>
  </si>
  <si>
    <t>BIERE BLANCHE</t>
  </si>
  <si>
    <t>FUT 40 L X 6</t>
  </si>
  <si>
    <t>BOISSON-CONSOMMABLE</t>
  </si>
  <si>
    <t>BOISSON-EQUIPEMENT</t>
  </si>
  <si>
    <t>COMMENTAIRES</t>
  </si>
  <si>
    <t>? GESTION RENDU, CONSIGNE , ALTERNATIVE</t>
  </si>
  <si>
    <t>DEVIS DE 4 x 10l</t>
  </si>
  <si>
    <t>RESTAURATION-EQUIPEMENT</t>
  </si>
  <si>
    <t>FRITEUSE</t>
  </si>
  <si>
    <t>DEVIS POUR 2</t>
  </si>
  <si>
    <t>ABC LOCATION</t>
  </si>
  <si>
    <t>CHARGE FIXE</t>
  </si>
  <si>
    <t>COMTE DOUX</t>
  </si>
  <si>
    <t>RESTAURATION-CONSOMMABLE</t>
  </si>
  <si>
    <t>PAR 3 KILOS</t>
  </si>
  <si>
    <t>SACHET SOUS VIDE</t>
  </si>
  <si>
    <t xml:space="preserve"> G PAR PERS.</t>
  </si>
  <si>
    <t>360 Œufs</t>
  </si>
  <si>
    <t>UNITE</t>
  </si>
  <si>
    <t>BARQUETTE FRITES</t>
  </si>
  <si>
    <t>?? POP CORN</t>
  </si>
  <si>
    <t>6.5 KG DE MAIS</t>
  </si>
  <si>
    <t>1000 gobelet de 72 CL</t>
  </si>
  <si>
    <t>GOBELET GLACE</t>
  </si>
  <si>
    <t>GLACE VANILLE/CHOCOLAT/FRAISE</t>
  </si>
  <si>
    <t>LA RONDE DES PAINS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</si>
</sst>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40C]_-;\-* #,##0.00\ [$€-40C]_-;_-* &quot;-&quot;??\ [$€-40C]_-;_-@_-"/>
    <numFmt numFmtId="165" formatCode="_-* #,##0\ &quot;€&quot;_-;\-* #,##0\ &quot;€&quot;_-;_-* &quot;-&quot;??\ &quot;€&quot;_-;_-@_-"/>
    <numFmt numFmtId="166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164" fontId="0" fillId="0" borderId="0" xfId="0" applyNumberFormat="1"/>
    <xf numFmtId="44" fontId="0" fillId="0" borderId="0" xfId="2" applyFont="1"/>
    <xf numFmtId="165" fontId="0" fillId="0" borderId="0" xfId="2" applyNumberFormat="1" applyFont="1"/>
    <xf numFmtId="166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44" fontId="2" fillId="0" borderId="0" xfId="2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44" fontId="0" fillId="2" borderId="0" xfId="2" applyFont="1" applyFill="1"/>
  </cellXfs>
  <cellStyles count="3">
    <cellStyle name="Milliers" xfId="1" builtinId="3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8A10-43DF-41A8-A8E3-DFD6711806A2}">
  <dimension ref="A2:AB40"/>
  <sheetViews>
    <sheetView tabSelected="1" workbookViewId="0">
      <pane ySplit="2" topLeftCell="A12" activePane="bottomLeft" state="frozenSplit"/>
      <selection pane="bottomLeft" activeCell="I31" sqref="I31"/>
    </sheetView>
  </sheetViews>
  <sheetFormatPr baseColWidth="10" defaultRowHeight="14.4" x14ac:dyDescent="0.3"/>
  <cols>
    <col min="1" max="1" width="18.88671875" customWidth="1"/>
    <col min="2" max="2" width="32.5546875" customWidth="1"/>
    <col min="3" max="3" width="25.33203125" customWidth="1"/>
    <col min="4" max="4" width="22.6640625" customWidth="1"/>
    <col min="5" max="5" width="17.21875" style="3" customWidth="1"/>
    <col min="6" max="6" width="13.44140625" style="3" customWidth="1"/>
    <col min="7" max="7" width="13" customWidth="1"/>
    <col min="8" max="9" width="18" customWidth="1"/>
    <col min="10" max="11" width="10" customWidth="1"/>
    <col min="12" max="12" width="12.33203125" customWidth="1"/>
    <col min="13" max="13" width="10" customWidth="1"/>
    <col min="14" max="14" width="41.109375" customWidth="1"/>
    <col min="15" max="16" width="10" customWidth="1"/>
    <col min="17" max="17" width="19.88671875" customWidth="1"/>
    <col min="19" max="19" width="20.77734375" style="4" customWidth="1"/>
    <col min="21" max="21" width="16.88671875" customWidth="1"/>
    <col min="22" max="23" width="11.5546875" style="2"/>
    <col min="25" max="25" width="19.109375" customWidth="1"/>
    <col min="26" max="26" width="11.5546875" style="3"/>
  </cols>
  <sheetData>
    <row r="2" spans="1:28" s="8" customFormat="1" ht="28.8" x14ac:dyDescent="0.3">
      <c r="A2" s="6" t="s">
        <v>45</v>
      </c>
      <c r="B2" s="6" t="s">
        <v>46</v>
      </c>
      <c r="C2" s="6" t="s">
        <v>44</v>
      </c>
      <c r="D2" s="6" t="s">
        <v>55</v>
      </c>
      <c r="E2" s="7" t="s">
        <v>57</v>
      </c>
      <c r="F2" s="7" t="s">
        <v>56</v>
      </c>
      <c r="G2" s="6" t="s">
        <v>60</v>
      </c>
      <c r="H2" s="6" t="s">
        <v>89</v>
      </c>
      <c r="I2" s="6" t="s">
        <v>61</v>
      </c>
      <c r="J2" s="6" t="s">
        <v>62</v>
      </c>
      <c r="K2" s="6" t="s">
        <v>10</v>
      </c>
      <c r="L2" s="6" t="s">
        <v>7</v>
      </c>
      <c r="M2" s="6" t="s">
        <v>15</v>
      </c>
      <c r="N2" s="6" t="s">
        <v>77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x14ac:dyDescent="0.3">
      <c r="A3" t="s">
        <v>8</v>
      </c>
      <c r="B3" t="s">
        <v>47</v>
      </c>
      <c r="C3" t="s">
        <v>58</v>
      </c>
      <c r="D3" t="s">
        <v>69</v>
      </c>
      <c r="E3" s="3">
        <f>+F3*12</f>
        <v>13.200000000000001</v>
      </c>
      <c r="F3" s="3">
        <v>1.1000000000000001</v>
      </c>
      <c r="G3">
        <v>4</v>
      </c>
      <c r="H3">
        <v>1</v>
      </c>
      <c r="I3" t="s">
        <v>4</v>
      </c>
      <c r="J3" s="10">
        <f>+F3/G3</f>
        <v>0.27500000000000002</v>
      </c>
      <c r="K3" t="s">
        <v>14</v>
      </c>
      <c r="L3" t="s">
        <v>14</v>
      </c>
      <c r="M3" t="s">
        <v>16</v>
      </c>
    </row>
    <row r="4" spans="1:28" x14ac:dyDescent="0.3">
      <c r="A4" t="s">
        <v>8</v>
      </c>
      <c r="B4" t="s">
        <v>47</v>
      </c>
      <c r="C4" t="s">
        <v>48</v>
      </c>
      <c r="D4" t="s">
        <v>69</v>
      </c>
      <c r="E4" s="3">
        <f>+F4*12</f>
        <v>7.8000000000000007</v>
      </c>
      <c r="F4" s="3">
        <v>0.65</v>
      </c>
      <c r="G4">
        <v>4</v>
      </c>
      <c r="H4">
        <v>1</v>
      </c>
      <c r="I4" t="s">
        <v>4</v>
      </c>
      <c r="J4" s="3">
        <f>+F4/G4</f>
        <v>0.16250000000000001</v>
      </c>
      <c r="K4" t="s">
        <v>14</v>
      </c>
      <c r="M4" t="s">
        <v>16</v>
      </c>
    </row>
    <row r="5" spans="1:28" x14ac:dyDescent="0.3">
      <c r="A5" t="s">
        <v>8</v>
      </c>
      <c r="B5" t="s">
        <v>47</v>
      </c>
      <c r="C5" t="s">
        <v>0</v>
      </c>
      <c r="D5" t="s">
        <v>63</v>
      </c>
      <c r="F5" s="3">
        <v>6.5</v>
      </c>
      <c r="G5" s="9">
        <v>12</v>
      </c>
      <c r="H5" s="9">
        <v>1</v>
      </c>
      <c r="I5" t="s">
        <v>4</v>
      </c>
      <c r="J5" s="3">
        <f>+F5/G5</f>
        <v>0.54166666666666663</v>
      </c>
      <c r="K5" t="s">
        <v>70</v>
      </c>
      <c r="M5" t="s">
        <v>16</v>
      </c>
      <c r="U5" s="2"/>
    </row>
    <row r="6" spans="1:28" x14ac:dyDescent="0.3">
      <c r="A6" t="s">
        <v>9</v>
      </c>
      <c r="B6" t="s">
        <v>47</v>
      </c>
      <c r="C6" t="s">
        <v>1</v>
      </c>
      <c r="D6" t="s">
        <v>67</v>
      </c>
      <c r="F6" s="3">
        <v>8.4</v>
      </c>
      <c r="G6">
        <v>24</v>
      </c>
      <c r="H6">
        <v>1</v>
      </c>
      <c r="I6" t="s">
        <v>4</v>
      </c>
      <c r="J6" s="3">
        <f>+F6/G6</f>
        <v>0.35000000000000003</v>
      </c>
      <c r="K6" t="s">
        <v>14</v>
      </c>
      <c r="M6" t="s">
        <v>16</v>
      </c>
    </row>
    <row r="7" spans="1:28" x14ac:dyDescent="0.3">
      <c r="A7" t="s">
        <v>64</v>
      </c>
      <c r="B7" t="s">
        <v>47</v>
      </c>
      <c r="C7" t="s">
        <v>2</v>
      </c>
      <c r="D7" t="s">
        <v>65</v>
      </c>
    </row>
    <row r="8" spans="1:28" x14ac:dyDescent="0.3">
      <c r="A8" t="s">
        <v>3</v>
      </c>
      <c r="B8" t="s">
        <v>47</v>
      </c>
      <c r="C8" t="s">
        <v>49</v>
      </c>
      <c r="D8" t="s">
        <v>68</v>
      </c>
      <c r="E8" s="3">
        <f>+F8*6</f>
        <v>63</v>
      </c>
      <c r="F8" s="2">
        <v>10.5</v>
      </c>
      <c r="G8">
        <v>6</v>
      </c>
      <c r="H8">
        <v>1</v>
      </c>
      <c r="I8" t="s">
        <v>4</v>
      </c>
      <c r="J8" s="3">
        <f>+F8/G8</f>
        <v>1.75</v>
      </c>
      <c r="K8" t="s">
        <v>14</v>
      </c>
      <c r="M8" t="s">
        <v>16</v>
      </c>
    </row>
    <row r="9" spans="1:28" x14ac:dyDescent="0.3">
      <c r="A9" t="s">
        <v>8</v>
      </c>
      <c r="B9" t="s">
        <v>47</v>
      </c>
      <c r="C9" t="s">
        <v>50</v>
      </c>
      <c r="D9" t="s">
        <v>68</v>
      </c>
      <c r="E9" s="3">
        <f>+F9*6</f>
        <v>45.599999999999994</v>
      </c>
      <c r="F9" s="2">
        <v>7.6</v>
      </c>
      <c r="G9">
        <v>6</v>
      </c>
      <c r="H9">
        <v>1</v>
      </c>
      <c r="I9" t="s">
        <v>4</v>
      </c>
      <c r="J9" s="3">
        <f>+F9/G9</f>
        <v>1.2666666666666666</v>
      </c>
      <c r="K9" t="s">
        <v>14</v>
      </c>
      <c r="M9" t="s">
        <v>16</v>
      </c>
    </row>
    <row r="10" spans="1:28" x14ac:dyDescent="0.3">
      <c r="A10" t="s">
        <v>8</v>
      </c>
      <c r="B10" t="s">
        <v>47</v>
      </c>
      <c r="C10" t="s">
        <v>51</v>
      </c>
      <c r="D10" t="s">
        <v>66</v>
      </c>
      <c r="F10" s="3">
        <v>52</v>
      </c>
      <c r="G10">
        <f>8*5</f>
        <v>40</v>
      </c>
      <c r="H10">
        <v>1</v>
      </c>
      <c r="I10" t="s">
        <v>4</v>
      </c>
      <c r="J10" s="3">
        <f>+F10/G10</f>
        <v>1.3</v>
      </c>
      <c r="K10" t="s">
        <v>14</v>
      </c>
      <c r="M10" t="s">
        <v>16</v>
      </c>
    </row>
    <row r="11" spans="1:28" x14ac:dyDescent="0.3">
      <c r="A11" t="s">
        <v>52</v>
      </c>
      <c r="B11" t="s">
        <v>47</v>
      </c>
      <c r="C11" t="s">
        <v>71</v>
      </c>
      <c r="D11" t="s">
        <v>72</v>
      </c>
      <c r="E11" s="3">
        <f>+F11*4</f>
        <v>320</v>
      </c>
      <c r="F11" s="3">
        <v>80</v>
      </c>
      <c r="G11">
        <v>115</v>
      </c>
      <c r="H11">
        <v>1</v>
      </c>
      <c r="I11" t="s">
        <v>4</v>
      </c>
      <c r="J11" s="3">
        <f>+F11/G11</f>
        <v>0.69565217391304346</v>
      </c>
      <c r="K11" t="s">
        <v>14</v>
      </c>
      <c r="M11" t="s">
        <v>16</v>
      </c>
    </row>
    <row r="12" spans="1:28" x14ac:dyDescent="0.3">
      <c r="A12" t="s">
        <v>52</v>
      </c>
      <c r="B12" t="s">
        <v>47</v>
      </c>
      <c r="C12" t="s">
        <v>73</v>
      </c>
      <c r="D12" t="s">
        <v>74</v>
      </c>
      <c r="E12" s="3">
        <f>+F12*6</f>
        <v>480</v>
      </c>
      <c r="F12" s="3">
        <v>80</v>
      </c>
      <c r="G12">
        <v>115</v>
      </c>
      <c r="H12">
        <v>1</v>
      </c>
      <c r="I12" t="s">
        <v>4</v>
      </c>
      <c r="J12" s="3">
        <f>+F12/G12</f>
        <v>0.69565217391304346</v>
      </c>
      <c r="K12" t="s">
        <v>14</v>
      </c>
      <c r="M12" t="s">
        <v>16</v>
      </c>
      <c r="R12" s="1"/>
    </row>
    <row r="13" spans="1:28" x14ac:dyDescent="0.3">
      <c r="A13" t="s">
        <v>64</v>
      </c>
      <c r="B13" t="s">
        <v>47</v>
      </c>
      <c r="C13" s="9" t="s">
        <v>5</v>
      </c>
      <c r="D13" s="9"/>
      <c r="E13" s="10"/>
      <c r="F13" s="10"/>
      <c r="G13" s="9"/>
      <c r="H13" s="9"/>
      <c r="I13" s="9"/>
      <c r="J13" s="9"/>
      <c r="K13" s="9"/>
      <c r="L13" s="9"/>
      <c r="M13" s="9"/>
    </row>
    <row r="14" spans="1:28" x14ac:dyDescent="0.3">
      <c r="A14" t="s">
        <v>13</v>
      </c>
      <c r="B14" t="s">
        <v>75</v>
      </c>
      <c r="C14" t="s">
        <v>6</v>
      </c>
      <c r="D14" t="s">
        <v>12</v>
      </c>
      <c r="F14" s="2">
        <v>669.6</v>
      </c>
      <c r="G14">
        <v>1000</v>
      </c>
      <c r="J14" s="3">
        <f>+F14/G14</f>
        <v>0.66959999999999997</v>
      </c>
      <c r="K14" t="s">
        <v>16</v>
      </c>
      <c r="M14" t="s">
        <v>14</v>
      </c>
      <c r="N14" t="s">
        <v>78</v>
      </c>
    </row>
    <row r="15" spans="1:28" x14ac:dyDescent="0.3">
      <c r="A15" t="s">
        <v>83</v>
      </c>
      <c r="B15" t="s">
        <v>76</v>
      </c>
      <c r="C15" t="s">
        <v>18</v>
      </c>
      <c r="D15" t="s">
        <v>79</v>
      </c>
      <c r="E15" s="3">
        <f>+F15*4</f>
        <v>344.80666666666667</v>
      </c>
      <c r="F15" s="3">
        <f>517.21/6</f>
        <v>86.201666666666668</v>
      </c>
      <c r="I15" t="s">
        <v>84</v>
      </c>
      <c r="K15" t="s">
        <v>16</v>
      </c>
      <c r="M15" t="s">
        <v>14</v>
      </c>
    </row>
    <row r="16" spans="1:28" x14ac:dyDescent="0.3">
      <c r="A16" t="s">
        <v>64</v>
      </c>
      <c r="B16" t="s">
        <v>75</v>
      </c>
      <c r="C16" t="s">
        <v>36</v>
      </c>
    </row>
    <row r="17" spans="1:22" x14ac:dyDescent="0.3">
      <c r="A17" t="s">
        <v>83</v>
      </c>
      <c r="B17" t="s">
        <v>80</v>
      </c>
      <c r="C17" t="s">
        <v>81</v>
      </c>
      <c r="D17" t="s">
        <v>82</v>
      </c>
      <c r="E17" s="3">
        <f>+F17*2</f>
        <v>172.40333333333334</v>
      </c>
      <c r="F17" s="3">
        <f>517.21/6</f>
        <v>86.201666666666668</v>
      </c>
      <c r="I17" t="s">
        <v>84</v>
      </c>
      <c r="K17" t="s">
        <v>16</v>
      </c>
      <c r="M17" t="s">
        <v>14</v>
      </c>
    </row>
    <row r="18" spans="1:22" x14ac:dyDescent="0.3">
      <c r="A18" t="s">
        <v>22</v>
      </c>
      <c r="B18" t="s">
        <v>19</v>
      </c>
      <c r="C18" t="s">
        <v>20</v>
      </c>
      <c r="D18" t="s">
        <v>17</v>
      </c>
      <c r="F18" s="3">
        <v>15.5</v>
      </c>
      <c r="G18">
        <v>16</v>
      </c>
      <c r="H18">
        <v>60</v>
      </c>
      <c r="I18" t="s">
        <v>54</v>
      </c>
      <c r="J18" s="3">
        <f>+F18/G18</f>
        <v>0.96875</v>
      </c>
      <c r="K18" t="s">
        <v>16</v>
      </c>
    </row>
    <row r="19" spans="1:22" x14ac:dyDescent="0.3">
      <c r="A19" t="s">
        <v>22</v>
      </c>
      <c r="B19" t="s">
        <v>19</v>
      </c>
      <c r="C19" t="s">
        <v>85</v>
      </c>
      <c r="D19" t="s">
        <v>17</v>
      </c>
      <c r="F19" s="3">
        <v>13</v>
      </c>
      <c r="G19">
        <v>16</v>
      </c>
      <c r="H19">
        <v>60</v>
      </c>
      <c r="I19" t="s">
        <v>54</v>
      </c>
      <c r="J19" s="3">
        <f t="shared" ref="J19:J21" si="0">+F19/G19</f>
        <v>0.8125</v>
      </c>
      <c r="K19" t="s">
        <v>16</v>
      </c>
    </row>
    <row r="20" spans="1:22" x14ac:dyDescent="0.3">
      <c r="A20" t="s">
        <v>22</v>
      </c>
      <c r="B20" t="s">
        <v>19</v>
      </c>
      <c r="C20" t="s">
        <v>21</v>
      </c>
      <c r="D20" t="s">
        <v>17</v>
      </c>
      <c r="F20" s="3">
        <v>16</v>
      </c>
      <c r="G20">
        <v>16</v>
      </c>
      <c r="H20">
        <v>60</v>
      </c>
      <c r="I20" t="s">
        <v>54</v>
      </c>
      <c r="J20" s="3">
        <f t="shared" si="0"/>
        <v>1</v>
      </c>
      <c r="K20" t="s">
        <v>16</v>
      </c>
    </row>
    <row r="21" spans="1:22" x14ac:dyDescent="0.3">
      <c r="A21" t="s">
        <v>23</v>
      </c>
      <c r="B21" t="s">
        <v>19</v>
      </c>
      <c r="C21" t="s">
        <v>20</v>
      </c>
      <c r="D21" t="s">
        <v>17</v>
      </c>
      <c r="F21" s="3">
        <v>19</v>
      </c>
      <c r="G21">
        <v>16</v>
      </c>
      <c r="H21">
        <v>60</v>
      </c>
      <c r="I21" t="s">
        <v>54</v>
      </c>
      <c r="J21" s="3">
        <f t="shared" si="0"/>
        <v>1.1875</v>
      </c>
      <c r="K21" t="s">
        <v>16</v>
      </c>
    </row>
    <row r="22" spans="1:22" x14ac:dyDescent="0.3">
      <c r="A22" t="s">
        <v>23</v>
      </c>
      <c r="B22" t="s">
        <v>86</v>
      </c>
      <c r="C22" t="s">
        <v>88</v>
      </c>
      <c r="D22" t="s">
        <v>87</v>
      </c>
      <c r="F22" s="3">
        <v>1</v>
      </c>
      <c r="G22">
        <f>16*3</f>
        <v>48</v>
      </c>
      <c r="I22" t="s">
        <v>54</v>
      </c>
      <c r="J22" s="3">
        <f t="shared" ref="J22:J23" si="1">+F22/G22</f>
        <v>2.0833333333333332E-2</v>
      </c>
      <c r="K22" t="s">
        <v>16</v>
      </c>
    </row>
    <row r="23" spans="1:22" x14ac:dyDescent="0.3">
      <c r="A23" t="s">
        <v>23</v>
      </c>
      <c r="B23" t="s">
        <v>19</v>
      </c>
      <c r="C23" t="s">
        <v>24</v>
      </c>
      <c r="D23" t="s">
        <v>17</v>
      </c>
      <c r="F23" s="3">
        <v>16</v>
      </c>
      <c r="G23">
        <v>10</v>
      </c>
      <c r="H23">
        <v>100</v>
      </c>
      <c r="I23" t="s">
        <v>54</v>
      </c>
      <c r="J23" s="3">
        <f t="shared" si="1"/>
        <v>1.6</v>
      </c>
      <c r="K23" t="s">
        <v>16</v>
      </c>
      <c r="N23" s="4"/>
      <c r="Q23" s="2"/>
      <c r="R23" s="2"/>
      <c r="S23"/>
      <c r="U23" s="3"/>
      <c r="V23"/>
    </row>
    <row r="24" spans="1:22" x14ac:dyDescent="0.3">
      <c r="A24" t="s">
        <v>23</v>
      </c>
      <c r="B24" t="s">
        <v>19</v>
      </c>
      <c r="C24" t="s">
        <v>25</v>
      </c>
      <c r="D24" t="s">
        <v>17</v>
      </c>
      <c r="F24" s="3">
        <v>13</v>
      </c>
      <c r="G24">
        <v>10</v>
      </c>
      <c r="H24">
        <v>100</v>
      </c>
      <c r="I24" t="s">
        <v>54</v>
      </c>
      <c r="J24" s="3">
        <f t="shared" ref="J24:J27" si="2">+F24/G24</f>
        <v>1.3</v>
      </c>
      <c r="K24" t="s">
        <v>16</v>
      </c>
      <c r="N24">
        <f>1.1*12</f>
        <v>13.200000000000001</v>
      </c>
      <c r="P24" s="5"/>
      <c r="Q24" s="2"/>
      <c r="R24" s="2"/>
      <c r="S24"/>
      <c r="V24" s="3"/>
    </row>
    <row r="25" spans="1:22" x14ac:dyDescent="0.3">
      <c r="A25" t="s">
        <v>23</v>
      </c>
      <c r="B25" t="s">
        <v>19</v>
      </c>
      <c r="C25" t="s">
        <v>26</v>
      </c>
      <c r="D25" t="s">
        <v>17</v>
      </c>
      <c r="F25" s="3">
        <v>18</v>
      </c>
      <c r="G25">
        <v>10</v>
      </c>
      <c r="H25">
        <v>100</v>
      </c>
      <c r="I25" t="s">
        <v>54</v>
      </c>
      <c r="J25" s="3">
        <f t="shared" si="2"/>
        <v>1.8</v>
      </c>
      <c r="K25" t="s">
        <v>16</v>
      </c>
      <c r="P25" s="5"/>
      <c r="Q25" s="2"/>
      <c r="R25" s="2"/>
      <c r="S25"/>
      <c r="V25" s="3"/>
    </row>
    <row r="26" spans="1:22" x14ac:dyDescent="0.3">
      <c r="A26" t="s">
        <v>27</v>
      </c>
      <c r="B26" t="s">
        <v>19</v>
      </c>
      <c r="C26" t="s">
        <v>28</v>
      </c>
      <c r="D26" t="s">
        <v>17</v>
      </c>
      <c r="F26" s="3">
        <v>6</v>
      </c>
      <c r="G26">
        <v>6</v>
      </c>
      <c r="H26">
        <v>150</v>
      </c>
      <c r="I26" t="s">
        <v>35</v>
      </c>
      <c r="J26" s="3">
        <f t="shared" si="2"/>
        <v>1</v>
      </c>
      <c r="K26" t="s">
        <v>16</v>
      </c>
      <c r="P26" s="5"/>
      <c r="Q26" s="2"/>
      <c r="R26" s="2"/>
      <c r="S26"/>
      <c r="V26" s="3"/>
    </row>
    <row r="27" spans="1:22" x14ac:dyDescent="0.3">
      <c r="A27" t="s">
        <v>9</v>
      </c>
      <c r="B27" t="s">
        <v>19</v>
      </c>
      <c r="C27" t="s">
        <v>59</v>
      </c>
      <c r="D27" t="s">
        <v>90</v>
      </c>
      <c r="F27" s="3">
        <v>66</v>
      </c>
      <c r="G27">
        <v>360</v>
      </c>
      <c r="I27" t="s">
        <v>91</v>
      </c>
      <c r="J27" s="3">
        <f t="shared" si="2"/>
        <v>0.18333333333333332</v>
      </c>
      <c r="K27" t="s">
        <v>16</v>
      </c>
      <c r="Q27" s="2"/>
      <c r="R27" s="2"/>
      <c r="S27"/>
      <c r="V27" s="3"/>
    </row>
    <row r="28" spans="1:22" x14ac:dyDescent="0.3">
      <c r="A28" t="s">
        <v>64</v>
      </c>
      <c r="B28" t="s">
        <v>19</v>
      </c>
      <c r="C28" t="s">
        <v>29</v>
      </c>
    </row>
    <row r="29" spans="1:22" x14ac:dyDescent="0.3">
      <c r="A29" t="s">
        <v>64</v>
      </c>
      <c r="B29" t="s">
        <v>86</v>
      </c>
      <c r="C29" t="s">
        <v>31</v>
      </c>
    </row>
    <row r="30" spans="1:22" x14ac:dyDescent="0.3">
      <c r="A30" t="s">
        <v>64</v>
      </c>
      <c r="B30" t="s">
        <v>86</v>
      </c>
      <c r="C30" t="s">
        <v>30</v>
      </c>
    </row>
    <row r="31" spans="1:22" x14ac:dyDescent="0.3">
      <c r="A31" t="s">
        <v>64</v>
      </c>
      <c r="B31" t="s">
        <v>86</v>
      </c>
      <c r="C31" t="s">
        <v>32</v>
      </c>
    </row>
    <row r="32" spans="1:22" x14ac:dyDescent="0.3">
      <c r="A32" t="s">
        <v>64</v>
      </c>
      <c r="B32" t="s">
        <v>86</v>
      </c>
      <c r="C32" t="s">
        <v>92</v>
      </c>
    </row>
    <row r="33" spans="1:24" x14ac:dyDescent="0.3">
      <c r="A33" t="s">
        <v>93</v>
      </c>
      <c r="B33" t="s">
        <v>19</v>
      </c>
      <c r="C33" t="s">
        <v>33</v>
      </c>
      <c r="D33" t="s">
        <v>94</v>
      </c>
    </row>
    <row r="34" spans="1:24" x14ac:dyDescent="0.3">
      <c r="A34" t="s">
        <v>93</v>
      </c>
      <c r="B34" t="s">
        <v>86</v>
      </c>
      <c r="C34" t="s">
        <v>33</v>
      </c>
      <c r="D34" t="s">
        <v>95</v>
      </c>
      <c r="F34" s="3">
        <v>300</v>
      </c>
      <c r="G34">
        <v>1000</v>
      </c>
      <c r="I34" t="s">
        <v>91</v>
      </c>
      <c r="J34" s="3">
        <f t="shared" ref="J34:J36" si="3">+F34/G34</f>
        <v>0.3</v>
      </c>
      <c r="K34" t="s">
        <v>16</v>
      </c>
      <c r="S34" s="3"/>
    </row>
    <row r="35" spans="1:24" x14ac:dyDescent="0.3">
      <c r="A35" t="s">
        <v>93</v>
      </c>
      <c r="B35" t="s">
        <v>80</v>
      </c>
      <c r="C35" t="s">
        <v>34</v>
      </c>
      <c r="F35" s="3">
        <v>252.05</v>
      </c>
      <c r="I35" t="s">
        <v>84</v>
      </c>
      <c r="K35" t="s">
        <v>16</v>
      </c>
      <c r="M35" t="s">
        <v>14</v>
      </c>
    </row>
    <row r="36" spans="1:24" x14ac:dyDescent="0.3">
      <c r="A36" t="s">
        <v>37</v>
      </c>
      <c r="B36" t="s">
        <v>19</v>
      </c>
      <c r="C36" t="s">
        <v>97</v>
      </c>
      <c r="D36" t="s">
        <v>38</v>
      </c>
      <c r="F36" s="3">
        <v>2.35</v>
      </c>
      <c r="G36">
        <v>20</v>
      </c>
      <c r="I36" t="s">
        <v>39</v>
      </c>
      <c r="J36" s="3">
        <f t="shared" si="3"/>
        <v>0.11750000000000001</v>
      </c>
    </row>
    <row r="37" spans="1:24" x14ac:dyDescent="0.3">
      <c r="A37" t="s">
        <v>11</v>
      </c>
      <c r="B37" t="s">
        <v>86</v>
      </c>
      <c r="C37" t="s">
        <v>96</v>
      </c>
    </row>
    <row r="38" spans="1:24" x14ac:dyDescent="0.3">
      <c r="A38" t="s">
        <v>11</v>
      </c>
      <c r="B38" t="s">
        <v>80</v>
      </c>
      <c r="C38" t="s">
        <v>40</v>
      </c>
      <c r="N38" t="s">
        <v>41</v>
      </c>
    </row>
    <row r="39" spans="1:24" x14ac:dyDescent="0.3">
      <c r="A39" t="s">
        <v>98</v>
      </c>
      <c r="B39" t="s">
        <v>19</v>
      </c>
      <c r="C39" t="s">
        <v>42</v>
      </c>
      <c r="D39" t="s">
        <v>53</v>
      </c>
      <c r="F39" s="3">
        <v>2.2000000000000002</v>
      </c>
      <c r="G39">
        <v>10</v>
      </c>
      <c r="I39" t="s">
        <v>54</v>
      </c>
      <c r="J39" s="3">
        <f t="shared" ref="J39" si="4">+F39/G39</f>
        <v>0.22000000000000003</v>
      </c>
      <c r="K39" t="s">
        <v>16</v>
      </c>
      <c r="V39"/>
      <c r="X39" s="2"/>
    </row>
    <row r="40" spans="1:24" x14ac:dyDescent="0.3">
      <c r="A40" t="s">
        <v>9</v>
      </c>
      <c r="B40" t="s">
        <v>19</v>
      </c>
      <c r="C40" t="s">
        <v>43</v>
      </c>
      <c r="G40">
        <v>5</v>
      </c>
      <c r="I40" t="s">
        <v>43</v>
      </c>
      <c r="J40" s="3">
        <f t="shared" ref="J40" si="5">+F40/G40</f>
        <v>0</v>
      </c>
      <c r="K40" t="s">
        <v>16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JANIER DUBRY</dc:creator>
  <cp:lastModifiedBy>Charles JANIER DUBRY</cp:lastModifiedBy>
  <dcterms:created xsi:type="dcterms:W3CDTF">2026-05-03T07:49:32Z</dcterms:created>
  <dcterms:modified xsi:type="dcterms:W3CDTF">2026-05-03T12:29:44Z</dcterms:modified>
</cp:coreProperties>
</file>