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rl\Monique-Festival\budget\"/>
    </mc:Choice>
  </mc:AlternateContent>
  <xr:revisionPtr revIDLastSave="0" documentId="13_ncr:1_{62256629-9DF7-44B5-AB9D-4CE1CA530A93}" xr6:coauthVersionLast="47" xr6:coauthVersionMax="47" xr10:uidLastSave="{00000000-0000-0000-0000-000000000000}"/>
  <bookViews>
    <workbookView xWindow="2310" yWindow="-21720" windowWidth="51840" windowHeight="21120" firstSheet="1" activeTab="5" xr2:uid="{00000000-000D-0000-FFFF-FFFF00000000}"/>
  </bookViews>
  <sheets>
    <sheet name="Synthèse" sheetId="1" r:id="rId1"/>
    <sheet name="Crowdfunding" sheetId="2" r:id="rId2"/>
    <sheet name="Billetterie" sheetId="3" r:id="rId3"/>
    <sheet name="F&amp;B" sheetId="4" r:id="rId4"/>
    <sheet name="Ateliers" sheetId="5" r:id="rId5"/>
    <sheet name="Artistes" sheetId="6" r:id="rId6"/>
    <sheet name="Logistique" sheetId="7" r:id="rId7"/>
    <sheet name="Frais divers" sheetId="8" r:id="rId8"/>
    <sheet name="Trésoreri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6" l="1"/>
  <c r="D37" i="6"/>
  <c r="B7" i="1"/>
  <c r="E36" i="9"/>
  <c r="D3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6" i="9" s="1"/>
  <c r="F5" i="9"/>
  <c r="E29" i="8"/>
  <c r="D29" i="8"/>
  <c r="F27" i="8"/>
  <c r="F26" i="8"/>
  <c r="F25" i="8"/>
  <c r="F24" i="8"/>
  <c r="F23" i="8"/>
  <c r="F22" i="8"/>
  <c r="F21" i="8"/>
  <c r="F20" i="8"/>
  <c r="F19" i="8"/>
  <c r="F18" i="8"/>
  <c r="F17" i="8"/>
  <c r="F29" i="8" s="1"/>
  <c r="F12" i="8"/>
  <c r="E12" i="8"/>
  <c r="D12" i="8"/>
  <c r="F10" i="8"/>
  <c r="F9" i="8"/>
  <c r="F8" i="8"/>
  <c r="F7" i="8"/>
  <c r="F6" i="8"/>
  <c r="D18" i="7"/>
  <c r="C18" i="7"/>
  <c r="E16" i="7"/>
  <c r="E15" i="7"/>
  <c r="E14" i="7"/>
  <c r="E13" i="7"/>
  <c r="E12" i="7"/>
  <c r="E11" i="7"/>
  <c r="E10" i="7"/>
  <c r="E9" i="7"/>
  <c r="E8" i="7"/>
  <c r="E7" i="7"/>
  <c r="E6" i="7"/>
  <c r="E18" i="7" s="1"/>
  <c r="E5" i="7"/>
  <c r="E4" i="7"/>
  <c r="K37" i="6"/>
  <c r="J37" i="6"/>
  <c r="F5" i="1" s="1"/>
  <c r="H37" i="6"/>
  <c r="G37" i="6"/>
  <c r="F37" i="6"/>
  <c r="E5" i="1" s="1"/>
  <c r="E12" i="1" s="1"/>
  <c r="N35" i="6"/>
  <c r="L35" i="6"/>
  <c r="I35" i="6"/>
  <c r="L34" i="6"/>
  <c r="I34" i="6"/>
  <c r="N34" i="6" s="1"/>
  <c r="L33" i="6"/>
  <c r="I33" i="6"/>
  <c r="N33" i="6" s="1"/>
  <c r="L32" i="6"/>
  <c r="N32" i="6" s="1"/>
  <c r="I32" i="6"/>
  <c r="L31" i="6"/>
  <c r="N31" i="6" s="1"/>
  <c r="I31" i="6"/>
  <c r="L30" i="6"/>
  <c r="N30" i="6" s="1"/>
  <c r="I30" i="6"/>
  <c r="L29" i="6"/>
  <c r="N29" i="6" s="1"/>
  <c r="I29" i="6"/>
  <c r="N28" i="6"/>
  <c r="L28" i="6"/>
  <c r="I28" i="6"/>
  <c r="L27" i="6"/>
  <c r="I27" i="6"/>
  <c r="N27" i="6" s="1"/>
  <c r="L26" i="6"/>
  <c r="I26" i="6"/>
  <c r="N26" i="6" s="1"/>
  <c r="L25" i="6"/>
  <c r="N25" i="6" s="1"/>
  <c r="I25" i="6"/>
  <c r="N24" i="6"/>
  <c r="L24" i="6"/>
  <c r="I24" i="6"/>
  <c r="L23" i="6"/>
  <c r="N23" i="6" s="1"/>
  <c r="I23" i="6"/>
  <c r="L22" i="6"/>
  <c r="N22" i="6" s="1"/>
  <c r="I22" i="6"/>
  <c r="L21" i="6"/>
  <c r="N21" i="6" s="1"/>
  <c r="I21" i="6"/>
  <c r="L20" i="6"/>
  <c r="N20" i="6" s="1"/>
  <c r="I20" i="6"/>
  <c r="N19" i="6"/>
  <c r="L19" i="6"/>
  <c r="I19" i="6"/>
  <c r="L18" i="6"/>
  <c r="I18" i="6"/>
  <c r="N18" i="6" s="1"/>
  <c r="L17" i="6"/>
  <c r="I17" i="6"/>
  <c r="N17" i="6" s="1"/>
  <c r="L16" i="6"/>
  <c r="N16" i="6" s="1"/>
  <c r="I16" i="6"/>
  <c r="L15" i="6"/>
  <c r="N15" i="6" s="1"/>
  <c r="I15" i="6"/>
  <c r="L14" i="6"/>
  <c r="N14" i="6" s="1"/>
  <c r="I14" i="6"/>
  <c r="L13" i="6"/>
  <c r="N13" i="6" s="1"/>
  <c r="I13" i="6"/>
  <c r="N12" i="6"/>
  <c r="L12" i="6"/>
  <c r="I12" i="6"/>
  <c r="L11" i="6"/>
  <c r="I11" i="6"/>
  <c r="N11" i="6" s="1"/>
  <c r="L10" i="6"/>
  <c r="I10" i="6"/>
  <c r="N10" i="6" s="1"/>
  <c r="L9" i="6"/>
  <c r="N9" i="6" s="1"/>
  <c r="I9" i="6"/>
  <c r="N8" i="6"/>
  <c r="L8" i="6"/>
  <c r="I8" i="6"/>
  <c r="L7" i="6"/>
  <c r="N7" i="6" s="1"/>
  <c r="I7" i="6"/>
  <c r="L6" i="6"/>
  <c r="N6" i="6" s="1"/>
  <c r="I6" i="6"/>
  <c r="L5" i="6"/>
  <c r="N5" i="6" s="1"/>
  <c r="I5" i="6"/>
  <c r="L4" i="6"/>
  <c r="L37" i="6" s="1"/>
  <c r="I4" i="6"/>
  <c r="I37" i="6" s="1"/>
  <c r="F27" i="5"/>
  <c r="E27" i="5"/>
  <c r="D27" i="5"/>
  <c r="F25" i="5"/>
  <c r="F24" i="5"/>
  <c r="F23" i="5"/>
  <c r="F22" i="5"/>
  <c r="F21" i="5"/>
  <c r="F20" i="5"/>
  <c r="F19" i="5"/>
  <c r="E14" i="5"/>
  <c r="C7" i="1" s="1"/>
  <c r="D14" i="5"/>
  <c r="F12" i="5"/>
  <c r="F11" i="5"/>
  <c r="F10" i="5"/>
  <c r="F9" i="5"/>
  <c r="F14" i="5" s="1"/>
  <c r="F8" i="5"/>
  <c r="F7" i="5"/>
  <c r="F6" i="5"/>
  <c r="E27" i="4"/>
  <c r="D27" i="4"/>
  <c r="F25" i="4"/>
  <c r="F24" i="4"/>
  <c r="F23" i="4"/>
  <c r="F22" i="4"/>
  <c r="F21" i="4"/>
  <c r="F20" i="4"/>
  <c r="F19" i="4"/>
  <c r="F18" i="4"/>
  <c r="F27" i="4" s="1"/>
  <c r="F13" i="4"/>
  <c r="E13" i="4"/>
  <c r="C6" i="1" s="1"/>
  <c r="D13" i="4"/>
  <c r="F11" i="4"/>
  <c r="F10" i="4"/>
  <c r="F9" i="4"/>
  <c r="F8" i="4"/>
  <c r="F7" i="4"/>
  <c r="F6" i="4"/>
  <c r="E10" i="3"/>
  <c r="C10" i="3"/>
  <c r="F8" i="3"/>
  <c r="G8" i="3" s="1"/>
  <c r="D8" i="3"/>
  <c r="G7" i="3"/>
  <c r="F7" i="3"/>
  <c r="D7" i="3"/>
  <c r="F6" i="3"/>
  <c r="D6" i="3"/>
  <c r="G6" i="3" s="1"/>
  <c r="F5" i="3"/>
  <c r="G5" i="3" s="1"/>
  <c r="D5" i="3"/>
  <c r="F4" i="3"/>
  <c r="F10" i="3" s="1"/>
  <c r="C5" i="1" s="1"/>
  <c r="D4" i="3"/>
  <c r="D10" i="3" s="1"/>
  <c r="B5" i="1" s="1"/>
  <c r="D16" i="2"/>
  <c r="C4" i="1" s="1"/>
  <c r="C16" i="2"/>
  <c r="B4" i="1" s="1"/>
  <c r="E14" i="2"/>
  <c r="E13" i="2"/>
  <c r="E12" i="2"/>
  <c r="E11" i="2"/>
  <c r="E10" i="2"/>
  <c r="E9" i="2"/>
  <c r="E8" i="2"/>
  <c r="E7" i="2"/>
  <c r="E6" i="2"/>
  <c r="E5" i="2"/>
  <c r="E4" i="2"/>
  <c r="E16" i="2" s="1"/>
  <c r="G9" i="1"/>
  <c r="F9" i="1"/>
  <c r="E9" i="1"/>
  <c r="C9" i="1"/>
  <c r="I9" i="1" s="1"/>
  <c r="B9" i="1"/>
  <c r="H9" i="1" s="1"/>
  <c r="H8" i="1"/>
  <c r="F8" i="1"/>
  <c r="G8" i="1" s="1"/>
  <c r="E8" i="1"/>
  <c r="D8" i="1"/>
  <c r="G7" i="1"/>
  <c r="F7" i="1"/>
  <c r="E7" i="1"/>
  <c r="H7" i="1"/>
  <c r="H6" i="1"/>
  <c r="F6" i="1"/>
  <c r="G6" i="1" s="1"/>
  <c r="E6" i="1"/>
  <c r="B6" i="1"/>
  <c r="G4" i="1"/>
  <c r="J9" i="1" l="1"/>
  <c r="H5" i="1"/>
  <c r="I7" i="1"/>
  <c r="J7" i="1" s="1"/>
  <c r="D7" i="1"/>
  <c r="G5" i="1"/>
  <c r="G12" i="1" s="1"/>
  <c r="F12" i="1"/>
  <c r="B12" i="1"/>
  <c r="H4" i="1"/>
  <c r="H12" i="1" s="1"/>
  <c r="C12" i="1"/>
  <c r="D4" i="1"/>
  <c r="I4" i="1"/>
  <c r="D5" i="1"/>
  <c r="I5" i="1"/>
  <c r="J5" i="1" s="1"/>
  <c r="D6" i="1"/>
  <c r="I6" i="1"/>
  <c r="J6" i="1" s="1"/>
  <c r="I8" i="1"/>
  <c r="J8" i="1" s="1"/>
  <c r="N4" i="6"/>
  <c r="N37" i="6" s="1"/>
  <c r="G4" i="3"/>
  <c r="G10" i="3" s="1"/>
  <c r="D9" i="1"/>
  <c r="I12" i="1" l="1"/>
  <c r="J4" i="1"/>
  <c r="J12" i="1" s="1"/>
  <c r="D12" i="1"/>
</calcChain>
</file>

<file path=xl/sharedStrings.xml><?xml version="1.0" encoding="utf-8"?>
<sst xmlns="http://schemas.openxmlformats.org/spreadsheetml/2006/main" count="264" uniqueCount="167">
  <si>
    <t>SYNTHÈSE BUDGÉTAIRE — Monique Festival</t>
  </si>
  <si>
    <t>Catégorie</t>
  </si>
  <si>
    <t>Recettes prévues</t>
  </si>
  <si>
    <t>Recettes réelles</t>
  </si>
  <si>
    <t>Écart recettes</t>
  </si>
  <si>
    <t>Dépenses prévues</t>
  </si>
  <si>
    <t>Dépenses réelles</t>
  </si>
  <si>
    <t>Écart dépenses</t>
  </si>
  <si>
    <t>Marge prévue</t>
  </si>
  <si>
    <t>Marge réelle</t>
  </si>
  <si>
    <t>Écart marge</t>
  </si>
  <si>
    <t>Crowdfunding</t>
  </si>
  <si>
    <t>Billetterie + Artistes</t>
  </si>
  <si>
    <t>F&amp;B (Buvettes + Restauration)</t>
  </si>
  <si>
    <t>Ateliers (recettes + coûts ateliers)</t>
  </si>
  <si>
    <t>Logistique</t>
  </si>
  <si>
    <t>Frais divers</t>
  </si>
  <si>
    <t>Ajustement défraiement artistes (-25%)</t>
  </si>
  <si>
    <t>TOTAL</t>
  </si>
  <si>
    <t>SCÉNARIOS PAR JAUGE</t>
  </si>
  <si>
    <t>Scénario</t>
  </si>
  <si>
    <t>Recettes</t>
  </si>
  <si>
    <t>Coûts</t>
  </si>
  <si>
    <t>Marge</t>
  </si>
  <si>
    <t>Jauge</t>
  </si>
  <si>
    <t>Nb festivaliers</t>
  </si>
  <si>
    <t>Jauge -20%</t>
  </si>
  <si>
    <t>960</t>
  </si>
  <si>
    <t>Jauge standard</t>
  </si>
  <si>
    <t>1 200</t>
  </si>
  <si>
    <t>Jauge +20%</t>
  </si>
  <si>
    <t>1 440</t>
  </si>
  <si>
    <t>CROWDFUNDING — Recettes HelloAsso</t>
  </si>
  <si>
    <t>Date</t>
  </si>
  <si>
    <t>Description</t>
  </si>
  <si>
    <t>Prévu</t>
  </si>
  <si>
    <t>Réel</t>
  </si>
  <si>
    <t>Écart</t>
  </si>
  <si>
    <t>Objectif crowdfunding (palier 3)</t>
  </si>
  <si>
    <t>TOTAL CROWDFUNDING</t>
  </si>
  <si>
    <t>BILLETTERIE — Recettes</t>
  </si>
  <si>
    <t>Type</t>
  </si>
  <si>
    <t>Tarif</t>
  </si>
  <si>
    <t>Nb prévu</t>
  </si>
  <si>
    <t>Nb réel</t>
  </si>
  <si>
    <t>Early bird pass 3 jours</t>
  </si>
  <si>
    <t>Pass 3 jours</t>
  </si>
  <si>
    <t>Vendredi</t>
  </si>
  <si>
    <t>Samedi</t>
  </si>
  <si>
    <t>Dimanche</t>
  </si>
  <si>
    <t>TOTAL BILLETTERIE</t>
  </si>
  <si>
    <t>F&amp;B — Buvettes + Restauration</t>
  </si>
  <si>
    <t>Buvette — Vendredi</t>
  </si>
  <si>
    <t>Recette</t>
  </si>
  <si>
    <t>Buvette — Samedi</t>
  </si>
  <si>
    <t>Buvette — Dimanche</t>
  </si>
  <si>
    <t>Restauration — Vendredi</t>
  </si>
  <si>
    <t>Restauration — Samedi</t>
  </si>
  <si>
    <t>Restauration — Dimanche</t>
  </si>
  <si>
    <t>TOTAL RECETTES F&amp;B</t>
  </si>
  <si>
    <t>Dépenses</t>
  </si>
  <si>
    <t>Achats buvette (bières, softs, vins…)</t>
  </si>
  <si>
    <t>Dépense</t>
  </si>
  <si>
    <t>Achats restauration (matières premières)</t>
  </si>
  <si>
    <t>Restauration artistes (prix coûtant)</t>
  </si>
  <si>
    <t>TOTAL DÉPENSES F&amp;B</t>
  </si>
  <si>
    <t>ATELIERS — Recettes &amp; Dépenses</t>
  </si>
  <si>
    <t>Recettes (cotisations participants)</t>
  </si>
  <si>
    <t>Masterclass chant lyrique (4 élèves × 60 €)</t>
  </si>
  <si>
    <t>Atelier écriture (15 pers × 50 € + 150 € lycée)</t>
  </si>
  <si>
    <t>Atelier musique &amp; théâtre (30 pers × 50 €)</t>
  </si>
  <si>
    <t>Atelier DJ (15 pers × 50 €)</t>
  </si>
  <si>
    <t>TOTAL RECETTES ATELIERS</t>
  </si>
  <si>
    <t>Dépenses (intervenants ateliers)</t>
  </si>
  <si>
    <t>Rép. Fabulo (4 art. x 2 jours x 100€)</t>
  </si>
  <si>
    <t>Rép. Masterclass chant — Romane (incl. Fabulo)</t>
  </si>
  <si>
    <t>Rép. Atelier écriture — Sylvain (2 jours x 100€)</t>
  </si>
  <si>
    <t>Rép. Atelier DJ — Jeff (2 jours x 100€)</t>
  </si>
  <si>
    <t>TOTAL DÉPENSES ATELIERS</t>
  </si>
  <si>
    <t>ARTISTES — Dépenses (cachet 250€, rép. 100€, défr. 200€ max)</t>
  </si>
  <si>
    <t>Nom</t>
  </si>
  <si>
    <t>Atelier</t>
  </si>
  <si>
    <t>Nb cachets</t>
  </si>
  <si>
    <t>Nb rép.</t>
  </si>
  <si>
    <t>Coût cachets prévu</t>
  </si>
  <si>
    <t>Coût rép. prévu</t>
  </si>
  <si>
    <t>Défraiement prévu</t>
  </si>
  <si>
    <t>Total prévu</t>
  </si>
  <si>
    <t>Paiement réel</t>
  </si>
  <si>
    <t>Défraiement réel</t>
  </si>
  <si>
    <t>Total réel</t>
  </si>
  <si>
    <t>Date paiement</t>
  </si>
  <si>
    <t>George Cabaret</t>
  </si>
  <si>
    <t>Musique</t>
  </si>
  <si>
    <t>Loretta</t>
  </si>
  <si>
    <t>? (Ven 19h30)</t>
  </si>
  <si>
    <t>Manu (Wambo)</t>
  </si>
  <si>
    <t>Jeff The Fool</t>
  </si>
  <si>
    <t>Atelier DJ</t>
  </si>
  <si>
    <t>Wet Enough (5 art.)</t>
  </si>
  <si>
    <t>Musique — Coll</t>
  </si>
  <si>
    <t>Osmosis (3 art.)</t>
  </si>
  <si>
    <t>Léopold (famille)</t>
  </si>
  <si>
    <t>Luther (famille)</t>
  </si>
  <si>
    <t>Marius (Fabulo)</t>
  </si>
  <si>
    <t>Fabulo — Coll</t>
  </si>
  <si>
    <t>Musique &amp; théâtre</t>
  </si>
  <si>
    <t>Maya (Fabulo)</t>
  </si>
  <si>
    <t>Raphaëlle (Fabulo)</t>
  </si>
  <si>
    <t>Romane Cabaret</t>
  </si>
  <si>
    <t>Masterclass chant</t>
  </si>
  <si>
    <t>Lorraine (famille)</t>
  </si>
  <si>
    <t>Fabulo</t>
  </si>
  <si>
    <t>Violoncelliste 1 (Marc T.)</t>
  </si>
  <si>
    <t>Classique</t>
  </si>
  <si>
    <t>Violoncelliste 2</t>
  </si>
  <si>
    <t>Violoncelliste 3</t>
  </si>
  <si>
    <t>Violoncelliste 4</t>
  </si>
  <si>
    <t>Volodia Van Keulen</t>
  </si>
  <si>
    <t>Pianiste (Augustin)</t>
  </si>
  <si>
    <t>Sylvain Septours</t>
  </si>
  <si>
    <t>Théâtre</t>
  </si>
  <si>
    <t>Atelier écriture</t>
  </si>
  <si>
    <t>Comédien 1 (Treize Clique)</t>
  </si>
  <si>
    <t>Théâtre — Coll</t>
  </si>
  <si>
    <t>Comédien 2 (Treize Clique)</t>
  </si>
  <si>
    <t>Comédien 3 (Treize Clique)</t>
  </si>
  <si>
    <t>Lewis (famille)</t>
  </si>
  <si>
    <t>Éloquence</t>
  </si>
  <si>
    <t>Cie théâtre 1 (4 art.)</t>
  </si>
  <si>
    <t>Théâtre — AP</t>
  </si>
  <si>
    <t>Cie théâtre 2 (4 art.)</t>
  </si>
  <si>
    <t>Cie théâtre 3 (4 art.)</t>
  </si>
  <si>
    <t>Cie théâtre 4 (4 art.)</t>
  </si>
  <si>
    <t>Fenêtres des heures (2 art.)</t>
  </si>
  <si>
    <t>Nouveau</t>
  </si>
  <si>
    <t>Fannelie</t>
  </si>
  <si>
    <t>Karina Ziegler (3 art.)</t>
  </si>
  <si>
    <t>Nouveau — Coll</t>
  </si>
  <si>
    <t>TOTAL ARTISTES</t>
  </si>
  <si>
    <t>LOGISTIQUE — Dépenses</t>
  </si>
  <si>
    <t>Location salle / terrain</t>
  </si>
  <si>
    <t>Sonorisation</t>
  </si>
  <si>
    <t>Éclairage / lumière</t>
  </si>
  <si>
    <t>Scène / podium</t>
  </si>
  <si>
    <t>Toilettes / sanitaires</t>
  </si>
  <si>
    <t>Électricité / groupe électrogène</t>
  </si>
  <si>
    <t>Barrières / sécurité</t>
  </si>
  <si>
    <t>Mobilier (tables, chaises, tentes)</t>
  </si>
  <si>
    <t>TOTAL LOGISTIQUE</t>
  </si>
  <si>
    <t>FRAIS DIVERS — Recettes &amp; Dépenses</t>
  </si>
  <si>
    <t>Recettes (subventions, dons, sponsors)</t>
  </si>
  <si>
    <t>TOTAL RECETTES DIVERS</t>
  </si>
  <si>
    <t>Dépenses (SACEM, communication, assurance, admin, imprévus)</t>
  </si>
  <si>
    <t>SACEM Billetterie (8,8%)</t>
  </si>
  <si>
    <t>SACEM Restauration/Buvettes (4,4%)</t>
  </si>
  <si>
    <t>Assurance événement</t>
  </si>
  <si>
    <t>Communication (affiches, flyers, vidéo)</t>
  </si>
  <si>
    <t>Frais administratifs</t>
  </si>
  <si>
    <t>Imprévus</t>
  </si>
  <si>
    <t>TOTAL DÉPENSES DIVERS</t>
  </si>
  <si>
    <t>TRÉSORERIE — Flux par date</t>
  </si>
  <si>
    <t>Solde initial</t>
  </si>
  <si>
    <t>Entrée</t>
  </si>
  <si>
    <t>Sortie</t>
  </si>
  <si>
    <t>Solde cumulé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</si>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</sst>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€"/>
  </numFmts>
  <fonts count="5" x14ac:knownFonts="1">
    <font>
      <sz val="11"/>
      <color theme="1"/>
      <name val="Calibri"/>
      <family val="2"/>
      <scheme val="minor"/>
    </font>
    <font>
      <b/>
      <sz val="12"/>
      <color rgb="FF2F549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0" borderId="1" xfId="0" applyNumberForma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4" fontId="4" fillId="5" borderId="1" xfId="0" applyNumberFormat="1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4" fontId="3" fillId="4" borderId="1" xfId="0" applyNumberFormat="1" applyFont="1" applyFill="1" applyBorder="1"/>
    <xf numFmtId="164" fontId="4" fillId="4" borderId="1" xfId="0" applyNumberFormat="1" applyFont="1" applyFill="1" applyBorder="1"/>
    <xf numFmtId="14" fontId="0" fillId="0" borderId="1" xfId="0" applyNumberFormat="1" applyBorder="1"/>
    <xf numFmtId="16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D28" sqref="D28"/>
    </sheetView>
  </sheetViews>
  <sheetFormatPr baseColWidth="10" defaultColWidth="8.88671875" defaultRowHeight="14.4" x14ac:dyDescent="0.3"/>
  <cols>
    <col min="1" max="1" width="35" customWidth="1"/>
    <col min="2" max="3" width="23" customWidth="1"/>
    <col min="4" max="4" width="18" customWidth="1"/>
    <col min="5" max="6" width="30" customWidth="1"/>
    <col min="7" max="7" width="18" customWidth="1"/>
    <col min="8" max="10" width="16" customWidth="1"/>
  </cols>
  <sheetData>
    <row r="1" spans="1:10" ht="15.6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3">
      <c r="A4" s="2" t="s">
        <v>11</v>
      </c>
      <c r="B4" s="3">
        <f>Crowdfunding!C16</f>
        <v>8000</v>
      </c>
      <c r="C4" s="3">
        <f>Crowdfunding!D16</f>
        <v>0</v>
      </c>
      <c r="D4" s="3">
        <f t="shared" ref="D4:D9" si="0">C4-B4</f>
        <v>-8000</v>
      </c>
      <c r="E4" s="4">
        <v>0</v>
      </c>
      <c r="F4" s="4">
        <v>0</v>
      </c>
      <c r="G4" s="4">
        <f t="shared" ref="G4:G9" si="1">F4-E4</f>
        <v>0</v>
      </c>
      <c r="H4" s="5">
        <f t="shared" ref="H4:I9" si="2">B4-E4</f>
        <v>8000</v>
      </c>
      <c r="I4" s="5">
        <f t="shared" si="2"/>
        <v>0</v>
      </c>
      <c r="J4" s="5">
        <f t="shared" ref="J4:J9" si="3">I4-H4</f>
        <v>-8000</v>
      </c>
    </row>
    <row r="5" spans="1:10" x14ac:dyDescent="0.3">
      <c r="A5" s="2" t="s">
        <v>12</v>
      </c>
      <c r="B5" s="3">
        <f>Billetterie!D10</f>
        <v>22650</v>
      </c>
      <c r="C5" s="3">
        <f>Billetterie!F10</f>
        <v>0</v>
      </c>
      <c r="D5" s="3">
        <f t="shared" si="0"/>
        <v>-22650</v>
      </c>
      <c r="E5" s="4">
        <f>Artistes!F37+Artistes!H37</f>
        <v>21100</v>
      </c>
      <c r="F5" s="4">
        <f>Artistes!J37+Artistes!K37</f>
        <v>0</v>
      </c>
      <c r="G5" s="4">
        <f t="shared" si="1"/>
        <v>-21100</v>
      </c>
      <c r="H5" s="5">
        <f t="shared" si="2"/>
        <v>1550</v>
      </c>
      <c r="I5" s="5">
        <f t="shared" si="2"/>
        <v>0</v>
      </c>
      <c r="J5" s="5">
        <f t="shared" si="3"/>
        <v>-1550</v>
      </c>
    </row>
    <row r="6" spans="1:10" x14ac:dyDescent="0.3">
      <c r="A6" s="2" t="s">
        <v>13</v>
      </c>
      <c r="B6" s="3">
        <f>'F&amp;B'!D13</f>
        <v>32442</v>
      </c>
      <c r="C6" s="3">
        <f>'F&amp;B'!E13</f>
        <v>0</v>
      </c>
      <c r="D6" s="3">
        <f t="shared" si="0"/>
        <v>-32442</v>
      </c>
      <c r="E6" s="4">
        <f>'F&amp;B'!D27</f>
        <v>7925</v>
      </c>
      <c r="F6" s="4">
        <f>'F&amp;B'!E27</f>
        <v>0</v>
      </c>
      <c r="G6" s="4">
        <f t="shared" si="1"/>
        <v>-7925</v>
      </c>
      <c r="H6" s="5">
        <f t="shared" si="2"/>
        <v>24517</v>
      </c>
      <c r="I6" s="5">
        <f t="shared" si="2"/>
        <v>0</v>
      </c>
      <c r="J6" s="5">
        <f t="shared" si="3"/>
        <v>-24517</v>
      </c>
    </row>
    <row r="7" spans="1:10" x14ac:dyDescent="0.3">
      <c r="A7" s="2" t="s">
        <v>14</v>
      </c>
      <c r="B7" s="3">
        <f>Ateliers!D14</f>
        <v>3390</v>
      </c>
      <c r="C7" s="3">
        <f>Ateliers!E14</f>
        <v>0</v>
      </c>
      <c r="D7" s="3">
        <f t="shared" si="0"/>
        <v>-3390</v>
      </c>
      <c r="E7" s="4">
        <f>Ateliers!D27</f>
        <v>1200</v>
      </c>
      <c r="F7" s="4">
        <f>Ateliers!E27</f>
        <v>0</v>
      </c>
      <c r="G7" s="4">
        <f t="shared" si="1"/>
        <v>-1200</v>
      </c>
      <c r="H7" s="5">
        <f t="shared" si="2"/>
        <v>2190</v>
      </c>
      <c r="I7" s="5">
        <f t="shared" si="2"/>
        <v>0</v>
      </c>
      <c r="J7" s="5">
        <f t="shared" si="3"/>
        <v>-2190</v>
      </c>
    </row>
    <row r="8" spans="1:10" x14ac:dyDescent="0.3">
      <c r="A8" s="2" t="s">
        <v>15</v>
      </c>
      <c r="B8" s="3">
        <v>0</v>
      </c>
      <c r="C8" s="3">
        <v>0</v>
      </c>
      <c r="D8" s="3">
        <f t="shared" si="0"/>
        <v>0</v>
      </c>
      <c r="E8" s="4">
        <f>Logistique!C18</f>
        <v>15000</v>
      </c>
      <c r="F8" s="4">
        <f>Logistique!D18</f>
        <v>0</v>
      </c>
      <c r="G8" s="4">
        <f t="shared" si="1"/>
        <v>-15000</v>
      </c>
      <c r="H8" s="5">
        <f t="shared" si="2"/>
        <v>-15000</v>
      </c>
      <c r="I8" s="5">
        <f t="shared" si="2"/>
        <v>0</v>
      </c>
      <c r="J8" s="5">
        <f t="shared" si="3"/>
        <v>15000</v>
      </c>
    </row>
    <row r="9" spans="1:10" x14ac:dyDescent="0.3">
      <c r="A9" s="2" t="s">
        <v>16</v>
      </c>
      <c r="B9" s="3">
        <f>'Frais divers'!D12</f>
        <v>0</v>
      </c>
      <c r="C9" s="3">
        <f>'Frais divers'!E12</f>
        <v>0</v>
      </c>
      <c r="D9" s="3">
        <f t="shared" si="0"/>
        <v>0</v>
      </c>
      <c r="E9" s="4">
        <f>'Frais divers'!D29</f>
        <v>6420</v>
      </c>
      <c r="F9" s="4">
        <f>'Frais divers'!E29</f>
        <v>0</v>
      </c>
      <c r="G9" s="4">
        <f t="shared" si="1"/>
        <v>-6420</v>
      </c>
      <c r="H9" s="5">
        <f t="shared" si="2"/>
        <v>-6420</v>
      </c>
      <c r="I9" s="5">
        <f t="shared" si="2"/>
        <v>0</v>
      </c>
      <c r="J9" s="5">
        <f t="shared" si="3"/>
        <v>6420</v>
      </c>
    </row>
    <row r="11" spans="1:10" x14ac:dyDescent="0.3">
      <c r="A11" s="2" t="s">
        <v>17</v>
      </c>
      <c r="B11" s="5"/>
      <c r="C11" s="5"/>
      <c r="D11" s="5"/>
      <c r="E11" s="5">
        <v>-1650</v>
      </c>
      <c r="F11" s="5"/>
      <c r="G11" s="5"/>
      <c r="H11" s="5"/>
      <c r="I11" s="5"/>
      <c r="J11" s="5"/>
    </row>
    <row r="12" spans="1:10" x14ac:dyDescent="0.3">
      <c r="A12" s="6" t="s">
        <v>18</v>
      </c>
      <c r="B12" s="7">
        <f t="shared" ref="B12:J12" si="4">SUM(B4:B11)</f>
        <v>66482</v>
      </c>
      <c r="C12" s="7">
        <f t="shared" si="4"/>
        <v>0</v>
      </c>
      <c r="D12" s="7">
        <f t="shared" si="4"/>
        <v>-66482</v>
      </c>
      <c r="E12" s="7">
        <f t="shared" si="4"/>
        <v>49995</v>
      </c>
      <c r="F12" s="7">
        <f t="shared" si="4"/>
        <v>0</v>
      </c>
      <c r="G12" s="7">
        <f t="shared" si="4"/>
        <v>-51645</v>
      </c>
      <c r="H12" s="7">
        <f t="shared" si="4"/>
        <v>14837</v>
      </c>
      <c r="I12" s="7">
        <f t="shared" si="4"/>
        <v>0</v>
      </c>
      <c r="J12" s="7">
        <f t="shared" si="4"/>
        <v>-14837</v>
      </c>
    </row>
    <row r="15" spans="1:10" ht="15.6" x14ac:dyDescent="0.3">
      <c r="A15" s="17" t="s">
        <v>19</v>
      </c>
      <c r="B15" s="18"/>
      <c r="C15" s="18"/>
      <c r="D15" s="18"/>
      <c r="E15" s="18"/>
      <c r="F15" s="18"/>
    </row>
    <row r="17" spans="1:6" x14ac:dyDescent="0.3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25</v>
      </c>
    </row>
    <row r="18" spans="1:6" x14ac:dyDescent="0.3">
      <c r="A18" s="8" t="s">
        <v>26</v>
      </c>
      <c r="B18" s="9">
        <v>47464</v>
      </c>
      <c r="C18" s="9">
        <v>47767</v>
      </c>
      <c r="D18" s="10">
        <v>-303</v>
      </c>
      <c r="E18" s="8" t="s">
        <v>27</v>
      </c>
      <c r="F18" s="8">
        <v>960</v>
      </c>
    </row>
    <row r="19" spans="1:6" x14ac:dyDescent="0.3">
      <c r="A19" s="11" t="s">
        <v>28</v>
      </c>
      <c r="B19" s="12">
        <v>58482</v>
      </c>
      <c r="C19" s="12">
        <v>49907</v>
      </c>
      <c r="D19" s="13">
        <v>8575</v>
      </c>
      <c r="E19" s="11" t="s">
        <v>29</v>
      </c>
      <c r="F19" s="11">
        <v>1200</v>
      </c>
    </row>
    <row r="20" spans="1:6" x14ac:dyDescent="0.3">
      <c r="A20" s="8" t="s">
        <v>30</v>
      </c>
      <c r="B20" s="9">
        <v>69500</v>
      </c>
      <c r="C20" s="9">
        <v>52048</v>
      </c>
      <c r="D20" s="14">
        <v>17453</v>
      </c>
      <c r="E20" s="8" t="s">
        <v>31</v>
      </c>
      <c r="F20" s="8">
        <v>1440</v>
      </c>
    </row>
  </sheetData>
  <mergeCells count="2">
    <mergeCell ref="A1:J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8671875" defaultRowHeight="14.4" x14ac:dyDescent="0.3"/>
  <cols>
    <col min="1" max="2" width="35" customWidth="1"/>
    <col min="3" max="5" width="16" customWidth="1"/>
  </cols>
  <sheetData>
    <row r="1" spans="1:5" ht="15.6" x14ac:dyDescent="0.3">
      <c r="A1" s="17" t="s">
        <v>32</v>
      </c>
      <c r="B1" s="18"/>
      <c r="C1" s="18"/>
      <c r="D1" s="18"/>
      <c r="E1" s="18"/>
    </row>
    <row r="3" spans="1:5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</row>
    <row r="4" spans="1:5" x14ac:dyDescent="0.3">
      <c r="A4" s="15"/>
      <c r="B4" s="2" t="s">
        <v>38</v>
      </c>
      <c r="C4" s="5">
        <v>8000</v>
      </c>
      <c r="D4" s="5"/>
      <c r="E4" s="5">
        <f t="shared" ref="E4:E14" si="0">D4-C4</f>
        <v>-8000</v>
      </c>
    </row>
    <row r="5" spans="1:5" x14ac:dyDescent="0.3">
      <c r="A5" s="15"/>
      <c r="B5" s="2"/>
      <c r="C5" s="5"/>
      <c r="D5" s="5"/>
      <c r="E5" s="5">
        <f t="shared" si="0"/>
        <v>0</v>
      </c>
    </row>
    <row r="6" spans="1:5" x14ac:dyDescent="0.3">
      <c r="A6" s="15"/>
      <c r="B6" s="2"/>
      <c r="C6" s="5"/>
      <c r="D6" s="5"/>
      <c r="E6" s="5">
        <f t="shared" si="0"/>
        <v>0</v>
      </c>
    </row>
    <row r="7" spans="1:5" x14ac:dyDescent="0.3">
      <c r="A7" s="15"/>
      <c r="B7" s="2"/>
      <c r="C7" s="5"/>
      <c r="D7" s="5"/>
      <c r="E7" s="5">
        <f t="shared" si="0"/>
        <v>0</v>
      </c>
    </row>
    <row r="8" spans="1:5" x14ac:dyDescent="0.3">
      <c r="A8" s="15"/>
      <c r="B8" s="2"/>
      <c r="C8" s="5"/>
      <c r="D8" s="5"/>
      <c r="E8" s="5">
        <f t="shared" si="0"/>
        <v>0</v>
      </c>
    </row>
    <row r="9" spans="1:5" x14ac:dyDescent="0.3">
      <c r="A9" s="15"/>
      <c r="B9" s="2"/>
      <c r="C9" s="5"/>
      <c r="D9" s="5"/>
      <c r="E9" s="5">
        <f t="shared" si="0"/>
        <v>0</v>
      </c>
    </row>
    <row r="10" spans="1:5" x14ac:dyDescent="0.3">
      <c r="A10" s="15"/>
      <c r="B10" s="2"/>
      <c r="C10" s="5"/>
      <c r="D10" s="5"/>
      <c r="E10" s="5">
        <f t="shared" si="0"/>
        <v>0</v>
      </c>
    </row>
    <row r="11" spans="1:5" x14ac:dyDescent="0.3">
      <c r="A11" s="15"/>
      <c r="B11" s="2"/>
      <c r="C11" s="5"/>
      <c r="D11" s="5"/>
      <c r="E11" s="5">
        <f t="shared" si="0"/>
        <v>0</v>
      </c>
    </row>
    <row r="12" spans="1:5" x14ac:dyDescent="0.3">
      <c r="A12" s="15"/>
      <c r="B12" s="2"/>
      <c r="C12" s="5"/>
      <c r="D12" s="5"/>
      <c r="E12" s="5">
        <f t="shared" si="0"/>
        <v>0</v>
      </c>
    </row>
    <row r="13" spans="1:5" x14ac:dyDescent="0.3">
      <c r="A13" s="15"/>
      <c r="B13" s="2"/>
      <c r="C13" s="5"/>
      <c r="D13" s="5"/>
      <c r="E13" s="5">
        <f t="shared" si="0"/>
        <v>0</v>
      </c>
    </row>
    <row r="14" spans="1:5" x14ac:dyDescent="0.3">
      <c r="A14" s="15"/>
      <c r="B14" s="2"/>
      <c r="C14" s="5"/>
      <c r="D14" s="5"/>
      <c r="E14" s="5">
        <f t="shared" si="0"/>
        <v>0</v>
      </c>
    </row>
    <row r="16" spans="1:5" x14ac:dyDescent="0.3">
      <c r="A16" s="6" t="s">
        <v>39</v>
      </c>
      <c r="B16" s="6"/>
      <c r="C16" s="7">
        <f>SUM(C4:C14)</f>
        <v>8000</v>
      </c>
      <c r="D16" s="7">
        <f>SUM(D4:D14)</f>
        <v>0</v>
      </c>
      <c r="E16" s="7">
        <f>SUM(E4:E14)</f>
        <v>-8000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sqref="A1:G1"/>
    </sheetView>
  </sheetViews>
  <sheetFormatPr baseColWidth="10" defaultColWidth="8.88671875" defaultRowHeight="14.4" x14ac:dyDescent="0.3"/>
  <cols>
    <col min="1" max="1" width="27" customWidth="1"/>
    <col min="2" max="2" width="9" customWidth="1"/>
    <col min="3" max="3" width="15" customWidth="1"/>
    <col min="4" max="4" width="20" customWidth="1"/>
    <col min="5" max="5" width="15" customWidth="1"/>
    <col min="6" max="6" width="20" customWidth="1"/>
    <col min="7" max="7" width="15" customWidth="1"/>
  </cols>
  <sheetData>
    <row r="1" spans="1:7" ht="15.6" x14ac:dyDescent="0.3">
      <c r="A1" s="17" t="s">
        <v>40</v>
      </c>
      <c r="B1" s="18"/>
      <c r="C1" s="18"/>
      <c r="D1" s="18"/>
      <c r="E1" s="18"/>
      <c r="F1" s="18"/>
      <c r="G1" s="18"/>
    </row>
    <row r="3" spans="1:7" x14ac:dyDescent="0.3">
      <c r="A3" s="1" t="s">
        <v>41</v>
      </c>
      <c r="B3" s="1" t="s">
        <v>42</v>
      </c>
      <c r="C3" s="1" t="s">
        <v>43</v>
      </c>
      <c r="D3" s="1" t="s">
        <v>2</v>
      </c>
      <c r="E3" s="1" t="s">
        <v>44</v>
      </c>
      <c r="F3" s="1" t="s">
        <v>3</v>
      </c>
      <c r="G3" s="1" t="s">
        <v>37</v>
      </c>
    </row>
    <row r="4" spans="1:7" x14ac:dyDescent="0.3">
      <c r="A4" s="2" t="s">
        <v>45</v>
      </c>
      <c r="B4" s="5">
        <v>20</v>
      </c>
      <c r="C4" s="2">
        <v>120</v>
      </c>
      <c r="D4" s="5">
        <f>B4*C4</f>
        <v>2400</v>
      </c>
      <c r="E4" s="2"/>
      <c r="F4" s="5">
        <f>B4*E4</f>
        <v>0</v>
      </c>
      <c r="G4" s="5">
        <f>F4-D4</f>
        <v>-2400</v>
      </c>
    </row>
    <row r="5" spans="1:7" x14ac:dyDescent="0.3">
      <c r="A5" s="2" t="s">
        <v>46</v>
      </c>
      <c r="B5" s="5">
        <v>25</v>
      </c>
      <c r="C5" s="2">
        <v>480</v>
      </c>
      <c r="D5" s="5">
        <f>B5*C5</f>
        <v>12000</v>
      </c>
      <c r="E5" s="2"/>
      <c r="F5" s="5">
        <f>B5*E5</f>
        <v>0</v>
      </c>
      <c r="G5" s="5">
        <f>F5-D5</f>
        <v>-12000</v>
      </c>
    </row>
    <row r="6" spans="1:7" x14ac:dyDescent="0.3">
      <c r="A6" s="2" t="s">
        <v>47</v>
      </c>
      <c r="B6" s="5">
        <v>10</v>
      </c>
      <c r="C6" s="2">
        <v>150</v>
      </c>
      <c r="D6" s="5">
        <f>B6*C6</f>
        <v>1500</v>
      </c>
      <c r="E6" s="2"/>
      <c r="F6" s="5">
        <f>B6*E6</f>
        <v>0</v>
      </c>
      <c r="G6" s="5">
        <f>F6-D6</f>
        <v>-1500</v>
      </c>
    </row>
    <row r="7" spans="1:7" x14ac:dyDescent="0.3">
      <c r="A7" s="2" t="s">
        <v>48</v>
      </c>
      <c r="B7" s="5">
        <v>15</v>
      </c>
      <c r="C7" s="2">
        <v>300</v>
      </c>
      <c r="D7" s="5">
        <f>B7*C7</f>
        <v>4500</v>
      </c>
      <c r="E7" s="2"/>
      <c r="F7" s="5">
        <f>B7*E7</f>
        <v>0</v>
      </c>
      <c r="G7" s="5">
        <f>F7-D7</f>
        <v>-4500</v>
      </c>
    </row>
    <row r="8" spans="1:7" x14ac:dyDescent="0.3">
      <c r="A8" s="2" t="s">
        <v>49</v>
      </c>
      <c r="B8" s="5">
        <v>15</v>
      </c>
      <c r="C8" s="2">
        <v>150</v>
      </c>
      <c r="D8" s="5">
        <f>B8*C8</f>
        <v>2250</v>
      </c>
      <c r="E8" s="2"/>
      <c r="F8" s="5">
        <f>B8*E8</f>
        <v>0</v>
      </c>
      <c r="G8" s="5">
        <f>F8-D8</f>
        <v>-2250</v>
      </c>
    </row>
    <row r="10" spans="1:7" x14ac:dyDescent="0.3">
      <c r="A10" s="6" t="s">
        <v>50</v>
      </c>
      <c r="B10" s="6"/>
      <c r="C10" s="7">
        <f>SUM(C4:C8)</f>
        <v>1200</v>
      </c>
      <c r="D10" s="7">
        <f>SUM(D4:D8)</f>
        <v>22650</v>
      </c>
      <c r="E10" s="7">
        <f>SUM(E4:E8)</f>
        <v>0</v>
      </c>
      <c r="F10" s="7">
        <f>SUM(F4:F8)</f>
        <v>0</v>
      </c>
      <c r="G10" s="7">
        <f>SUM(G4:G8)</f>
        <v>-22650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/>
  </sheetViews>
  <sheetFormatPr baseColWidth="10" defaultColWidth="8.88671875" defaultRowHeight="14.4" x14ac:dyDescent="0.3"/>
  <cols>
    <col min="1" max="1" width="33" customWidth="1"/>
    <col min="2" max="2" width="35" customWidth="1"/>
    <col min="3" max="3" width="11" customWidth="1"/>
    <col min="4" max="6" width="17" customWidth="1"/>
  </cols>
  <sheetData>
    <row r="1" spans="1:6" ht="15.6" x14ac:dyDescent="0.3">
      <c r="A1" s="17" t="s">
        <v>51</v>
      </c>
      <c r="B1" s="18"/>
      <c r="C1" s="18"/>
      <c r="D1" s="18"/>
      <c r="E1" s="18"/>
      <c r="F1" s="18"/>
    </row>
    <row r="3" spans="1:6" ht="15.6" x14ac:dyDescent="0.3">
      <c r="A3" s="17" t="s">
        <v>21</v>
      </c>
      <c r="B3" s="18"/>
      <c r="C3" s="18"/>
      <c r="D3" s="18"/>
      <c r="E3" s="18"/>
      <c r="F3" s="18"/>
    </row>
    <row r="5" spans="1:6" x14ac:dyDescent="0.3">
      <c r="A5" s="1" t="s">
        <v>33</v>
      </c>
      <c r="B5" s="1" t="s">
        <v>34</v>
      </c>
      <c r="C5" s="1" t="s">
        <v>41</v>
      </c>
      <c r="D5" s="1" t="s">
        <v>35</v>
      </c>
      <c r="E5" s="1" t="s">
        <v>36</v>
      </c>
      <c r="F5" s="1" t="s">
        <v>37</v>
      </c>
    </row>
    <row r="6" spans="1:6" x14ac:dyDescent="0.3">
      <c r="A6" s="2"/>
      <c r="B6" s="2" t="s">
        <v>52</v>
      </c>
      <c r="C6" s="2" t="s">
        <v>53</v>
      </c>
      <c r="D6" s="5">
        <v>4238</v>
      </c>
      <c r="E6" s="5"/>
      <c r="F6" s="5">
        <f t="shared" ref="F6:F11" si="0">E6-D6</f>
        <v>-4238</v>
      </c>
    </row>
    <row r="7" spans="1:6" x14ac:dyDescent="0.3">
      <c r="A7" s="2"/>
      <c r="B7" s="2" t="s">
        <v>54</v>
      </c>
      <c r="C7" s="2" t="s">
        <v>53</v>
      </c>
      <c r="D7" s="5">
        <v>12244</v>
      </c>
      <c r="E7" s="5"/>
      <c r="F7" s="5">
        <f t="shared" si="0"/>
        <v>-12244</v>
      </c>
    </row>
    <row r="8" spans="1:6" x14ac:dyDescent="0.3">
      <c r="A8" s="2"/>
      <c r="B8" s="2" t="s">
        <v>55</v>
      </c>
      <c r="C8" s="2" t="s">
        <v>53</v>
      </c>
      <c r="D8" s="5">
        <v>4238</v>
      </c>
      <c r="E8" s="5"/>
      <c r="F8" s="5">
        <f t="shared" si="0"/>
        <v>-4238</v>
      </c>
    </row>
    <row r="9" spans="1:6" x14ac:dyDescent="0.3">
      <c r="A9" s="2"/>
      <c r="B9" s="2" t="s">
        <v>56</v>
      </c>
      <c r="C9" s="2" t="s">
        <v>53</v>
      </c>
      <c r="D9" s="5">
        <v>2398</v>
      </c>
      <c r="E9" s="5"/>
      <c r="F9" s="5">
        <f t="shared" si="0"/>
        <v>-2398</v>
      </c>
    </row>
    <row r="10" spans="1:6" x14ac:dyDescent="0.3">
      <c r="A10" s="2"/>
      <c r="B10" s="2" t="s">
        <v>57</v>
      </c>
      <c r="C10" s="2" t="s">
        <v>53</v>
      </c>
      <c r="D10" s="5">
        <v>6926</v>
      </c>
      <c r="E10" s="5"/>
      <c r="F10" s="5">
        <f t="shared" si="0"/>
        <v>-6926</v>
      </c>
    </row>
    <row r="11" spans="1:6" x14ac:dyDescent="0.3">
      <c r="A11" s="2"/>
      <c r="B11" s="2" t="s">
        <v>58</v>
      </c>
      <c r="C11" s="2" t="s">
        <v>53</v>
      </c>
      <c r="D11" s="5">
        <v>2398</v>
      </c>
      <c r="E11" s="5"/>
      <c r="F11" s="5">
        <f t="shared" si="0"/>
        <v>-2398</v>
      </c>
    </row>
    <row r="13" spans="1:6" x14ac:dyDescent="0.3">
      <c r="A13" s="6" t="s">
        <v>59</v>
      </c>
      <c r="B13" s="6"/>
      <c r="C13" s="6"/>
      <c r="D13" s="7">
        <f>SUM(D6:D11)</f>
        <v>32442</v>
      </c>
      <c r="E13" s="7">
        <f>SUM(E6:E11)</f>
        <v>0</v>
      </c>
      <c r="F13" s="7">
        <f>SUM(F6:F11)</f>
        <v>-32442</v>
      </c>
    </row>
    <row r="15" spans="1:6" ht="15.6" x14ac:dyDescent="0.3">
      <c r="A15" s="17" t="s">
        <v>60</v>
      </c>
      <c r="B15" s="18"/>
      <c r="C15" s="18"/>
      <c r="D15" s="18"/>
      <c r="E15" s="18"/>
      <c r="F15" s="18"/>
    </row>
    <row r="17" spans="1:6" x14ac:dyDescent="0.3">
      <c r="A17" s="1" t="s">
        <v>33</v>
      </c>
      <c r="B17" s="1" t="s">
        <v>34</v>
      </c>
      <c r="C17" s="1" t="s">
        <v>41</v>
      </c>
      <c r="D17" s="1" t="s">
        <v>35</v>
      </c>
      <c r="E17" s="1" t="s">
        <v>36</v>
      </c>
      <c r="F17" s="1" t="s">
        <v>37</v>
      </c>
    </row>
    <row r="18" spans="1:6" x14ac:dyDescent="0.3">
      <c r="A18" s="15"/>
      <c r="B18" s="2" t="s">
        <v>61</v>
      </c>
      <c r="C18" s="2" t="s">
        <v>62</v>
      </c>
      <c r="D18" s="5">
        <v>4440</v>
      </c>
      <c r="E18" s="5"/>
      <c r="F18" s="5">
        <f t="shared" ref="F18:F25" si="1">E18-D18</f>
        <v>-4440</v>
      </c>
    </row>
    <row r="19" spans="1:6" x14ac:dyDescent="0.3">
      <c r="A19" s="15"/>
      <c r="B19" s="2" t="s">
        <v>63</v>
      </c>
      <c r="C19" s="2" t="s">
        <v>62</v>
      </c>
      <c r="D19" s="5">
        <v>2930</v>
      </c>
      <c r="E19" s="5"/>
      <c r="F19" s="5">
        <f t="shared" si="1"/>
        <v>-2930</v>
      </c>
    </row>
    <row r="20" spans="1:6" x14ac:dyDescent="0.3">
      <c r="A20" s="15"/>
      <c r="B20" s="2" t="s">
        <v>64</v>
      </c>
      <c r="C20" s="2" t="s">
        <v>62</v>
      </c>
      <c r="D20" s="5">
        <v>555</v>
      </c>
      <c r="E20" s="5"/>
      <c r="F20" s="5">
        <f t="shared" si="1"/>
        <v>-555</v>
      </c>
    </row>
    <row r="21" spans="1:6" x14ac:dyDescent="0.3">
      <c r="A21" s="15"/>
      <c r="B21" s="2"/>
      <c r="C21" s="2"/>
      <c r="D21" s="5"/>
      <c r="E21" s="5"/>
      <c r="F21" s="5">
        <f t="shared" si="1"/>
        <v>0</v>
      </c>
    </row>
    <row r="22" spans="1:6" x14ac:dyDescent="0.3">
      <c r="A22" s="15"/>
      <c r="B22" s="2"/>
      <c r="C22" s="2"/>
      <c r="D22" s="5"/>
      <c r="E22" s="5"/>
      <c r="F22" s="5">
        <f t="shared" si="1"/>
        <v>0</v>
      </c>
    </row>
    <row r="23" spans="1:6" x14ac:dyDescent="0.3">
      <c r="A23" s="15"/>
      <c r="B23" s="2"/>
      <c r="C23" s="2"/>
      <c r="D23" s="5"/>
      <c r="E23" s="5"/>
      <c r="F23" s="5">
        <f t="shared" si="1"/>
        <v>0</v>
      </c>
    </row>
    <row r="24" spans="1:6" x14ac:dyDescent="0.3">
      <c r="A24" s="15"/>
      <c r="B24" s="2"/>
      <c r="C24" s="2"/>
      <c r="D24" s="5"/>
      <c r="E24" s="5"/>
      <c r="F24" s="5">
        <f t="shared" si="1"/>
        <v>0</v>
      </c>
    </row>
    <row r="25" spans="1:6" x14ac:dyDescent="0.3">
      <c r="A25" s="15"/>
      <c r="B25" s="2"/>
      <c r="C25" s="2"/>
      <c r="D25" s="5"/>
      <c r="E25" s="5"/>
      <c r="F25" s="5">
        <f t="shared" si="1"/>
        <v>0</v>
      </c>
    </row>
    <row r="27" spans="1:6" x14ac:dyDescent="0.3">
      <c r="A27" s="6" t="s">
        <v>65</v>
      </c>
      <c r="B27" s="6"/>
      <c r="C27" s="6"/>
      <c r="D27" s="7">
        <f>SUM(D18:D25)</f>
        <v>7925</v>
      </c>
      <c r="E27" s="7">
        <f>SUM(E18:E25)</f>
        <v>0</v>
      </c>
      <c r="F27" s="7">
        <f>SUM(F18:F25)</f>
        <v>-7925</v>
      </c>
    </row>
  </sheetData>
  <mergeCells count="3">
    <mergeCell ref="A3:F3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opLeftCell="A3" workbookViewId="0">
      <selection sqref="A1:F1"/>
    </sheetView>
  </sheetViews>
  <sheetFormatPr baseColWidth="10" defaultColWidth="8.88671875" defaultRowHeight="14.4" x14ac:dyDescent="0.3"/>
  <cols>
    <col min="1" max="2" width="35" customWidth="1"/>
    <col min="3" max="3" width="11" customWidth="1"/>
    <col min="4" max="6" width="17" customWidth="1"/>
  </cols>
  <sheetData>
    <row r="1" spans="1:6" ht="15.6" x14ac:dyDescent="0.3">
      <c r="A1" s="17" t="s">
        <v>66</v>
      </c>
      <c r="B1" s="18"/>
      <c r="C1" s="18"/>
      <c r="D1" s="18"/>
      <c r="E1" s="18"/>
      <c r="F1" s="18"/>
    </row>
    <row r="3" spans="1:6" ht="15.6" x14ac:dyDescent="0.3">
      <c r="A3" s="17" t="s">
        <v>67</v>
      </c>
      <c r="B3" s="18"/>
      <c r="C3" s="18"/>
      <c r="D3" s="18"/>
      <c r="E3" s="18"/>
      <c r="F3" s="18"/>
    </row>
    <row r="5" spans="1:6" x14ac:dyDescent="0.3">
      <c r="A5" s="1" t="s">
        <v>33</v>
      </c>
      <c r="B5" s="1" t="s">
        <v>34</v>
      </c>
      <c r="C5" s="1" t="s">
        <v>41</v>
      </c>
      <c r="D5" s="1" t="s">
        <v>35</v>
      </c>
      <c r="E5" s="1" t="s">
        <v>36</v>
      </c>
      <c r="F5" s="1" t="s">
        <v>37</v>
      </c>
    </row>
    <row r="6" spans="1:6" x14ac:dyDescent="0.3">
      <c r="A6" s="15"/>
      <c r="B6" s="2" t="s">
        <v>68</v>
      </c>
      <c r="C6" s="2" t="s">
        <v>53</v>
      </c>
      <c r="D6" s="5">
        <v>240</v>
      </c>
      <c r="E6" s="5"/>
      <c r="F6" s="5">
        <f t="shared" ref="F6:F12" si="0">E6-D6</f>
        <v>-240</v>
      </c>
    </row>
    <row r="7" spans="1:6" x14ac:dyDescent="0.3">
      <c r="A7" s="15"/>
      <c r="B7" s="2" t="s">
        <v>69</v>
      </c>
      <c r="C7" s="2" t="s">
        <v>53</v>
      </c>
      <c r="D7" s="5">
        <v>900</v>
      </c>
      <c r="E7" s="5"/>
      <c r="F7" s="5">
        <f t="shared" si="0"/>
        <v>-900</v>
      </c>
    </row>
    <row r="8" spans="1:6" x14ac:dyDescent="0.3">
      <c r="A8" s="15"/>
      <c r="B8" s="2" t="s">
        <v>70</v>
      </c>
      <c r="C8" s="2" t="s">
        <v>53</v>
      </c>
      <c r="D8" s="5">
        <v>1500</v>
      </c>
      <c r="E8" s="5"/>
      <c r="F8" s="5">
        <f t="shared" si="0"/>
        <v>-1500</v>
      </c>
    </row>
    <row r="9" spans="1:6" x14ac:dyDescent="0.3">
      <c r="A9" s="15"/>
      <c r="B9" s="2" t="s">
        <v>71</v>
      </c>
      <c r="C9" s="2" t="s">
        <v>53</v>
      </c>
      <c r="D9" s="5">
        <v>750</v>
      </c>
      <c r="E9" s="5"/>
      <c r="F9" s="5">
        <f t="shared" si="0"/>
        <v>-750</v>
      </c>
    </row>
    <row r="10" spans="1:6" x14ac:dyDescent="0.3">
      <c r="A10" s="15"/>
      <c r="B10" s="2"/>
      <c r="C10" s="2"/>
      <c r="D10" s="5"/>
      <c r="E10" s="5"/>
      <c r="F10" s="5">
        <f t="shared" si="0"/>
        <v>0</v>
      </c>
    </row>
    <row r="11" spans="1:6" x14ac:dyDescent="0.3">
      <c r="A11" s="15"/>
      <c r="B11" s="2"/>
      <c r="C11" s="2"/>
      <c r="D11" s="5"/>
      <c r="E11" s="5"/>
      <c r="F11" s="5">
        <f t="shared" si="0"/>
        <v>0</v>
      </c>
    </row>
    <row r="12" spans="1:6" x14ac:dyDescent="0.3">
      <c r="A12" s="15"/>
      <c r="B12" s="2"/>
      <c r="C12" s="2"/>
      <c r="D12" s="5"/>
      <c r="E12" s="5"/>
      <c r="F12" s="5">
        <f t="shared" si="0"/>
        <v>0</v>
      </c>
    </row>
    <row r="14" spans="1:6" x14ac:dyDescent="0.3">
      <c r="A14" s="6" t="s">
        <v>72</v>
      </c>
      <c r="B14" s="6"/>
      <c r="C14" s="6"/>
      <c r="D14" s="7">
        <f>SUM(D6:D12)</f>
        <v>3390</v>
      </c>
      <c r="E14" s="7">
        <f>SUM(E6:E12)</f>
        <v>0</v>
      </c>
      <c r="F14" s="7">
        <f>SUM(F6:F12)</f>
        <v>-3390</v>
      </c>
    </row>
    <row r="16" spans="1:6" ht="15.6" x14ac:dyDescent="0.3">
      <c r="A16" s="17" t="s">
        <v>73</v>
      </c>
      <c r="B16" s="18"/>
      <c r="C16" s="18"/>
      <c r="D16" s="18"/>
      <c r="E16" s="18"/>
      <c r="F16" s="18"/>
    </row>
    <row r="18" spans="1:6" x14ac:dyDescent="0.3">
      <c r="A18" s="1" t="s">
        <v>33</v>
      </c>
      <c r="B18" s="1" t="s">
        <v>34</v>
      </c>
      <c r="C18" s="1" t="s">
        <v>41</v>
      </c>
      <c r="D18" s="1" t="s">
        <v>35</v>
      </c>
      <c r="E18" s="1" t="s">
        <v>36</v>
      </c>
      <c r="F18" s="1" t="s">
        <v>37</v>
      </c>
    </row>
    <row r="19" spans="1:6" x14ac:dyDescent="0.3">
      <c r="A19" s="15"/>
      <c r="B19" s="2" t="s">
        <v>74</v>
      </c>
      <c r="C19" s="2" t="s">
        <v>62</v>
      </c>
      <c r="D19" s="5">
        <v>800</v>
      </c>
      <c r="E19" s="5"/>
      <c r="F19" s="5">
        <f t="shared" ref="F19:F25" si="1">E19-D19</f>
        <v>-800</v>
      </c>
    </row>
    <row r="20" spans="1:6" x14ac:dyDescent="0.3">
      <c r="A20" s="15"/>
      <c r="B20" s="2" t="s">
        <v>75</v>
      </c>
      <c r="C20" s="2" t="s">
        <v>62</v>
      </c>
      <c r="D20" s="5">
        <v>0</v>
      </c>
      <c r="E20" s="5"/>
      <c r="F20" s="5">
        <f t="shared" si="1"/>
        <v>0</v>
      </c>
    </row>
    <row r="21" spans="1:6" x14ac:dyDescent="0.3">
      <c r="A21" s="15"/>
      <c r="B21" s="2" t="s">
        <v>76</v>
      </c>
      <c r="C21" s="2" t="s">
        <v>62</v>
      </c>
      <c r="D21" s="5">
        <v>200</v>
      </c>
      <c r="E21" s="5"/>
      <c r="F21" s="5">
        <f t="shared" si="1"/>
        <v>-200</v>
      </c>
    </row>
    <row r="22" spans="1:6" x14ac:dyDescent="0.3">
      <c r="A22" s="15"/>
      <c r="B22" s="2" t="s">
        <v>77</v>
      </c>
      <c r="C22" s="2" t="s">
        <v>62</v>
      </c>
      <c r="D22" s="5">
        <v>200</v>
      </c>
      <c r="E22" s="5"/>
      <c r="F22" s="5">
        <f t="shared" si="1"/>
        <v>-200</v>
      </c>
    </row>
    <row r="23" spans="1:6" x14ac:dyDescent="0.3">
      <c r="A23" s="15"/>
      <c r="B23" s="2"/>
      <c r="C23" s="2"/>
      <c r="D23" s="5"/>
      <c r="E23" s="5"/>
      <c r="F23" s="5">
        <f t="shared" si="1"/>
        <v>0</v>
      </c>
    </row>
    <row r="24" spans="1:6" x14ac:dyDescent="0.3">
      <c r="A24" s="15"/>
      <c r="B24" s="2"/>
      <c r="C24" s="2"/>
      <c r="D24" s="5"/>
      <c r="E24" s="5"/>
      <c r="F24" s="5">
        <f t="shared" si="1"/>
        <v>0</v>
      </c>
    </row>
    <row r="25" spans="1:6" x14ac:dyDescent="0.3">
      <c r="A25" s="15"/>
      <c r="B25" s="2"/>
      <c r="C25" s="2"/>
      <c r="D25" s="5"/>
      <c r="E25" s="5"/>
      <c r="F25" s="5">
        <f t="shared" si="1"/>
        <v>0</v>
      </c>
    </row>
    <row r="27" spans="1:6" x14ac:dyDescent="0.3">
      <c r="A27" s="6" t="s">
        <v>78</v>
      </c>
      <c r="B27" s="6"/>
      <c r="C27" s="6"/>
      <c r="D27" s="7">
        <f>SUM(D19:D25)</f>
        <v>1200</v>
      </c>
      <c r="E27" s="7">
        <f>SUM(E19:E25)</f>
        <v>0</v>
      </c>
      <c r="F27" s="7">
        <f>SUM(F19:F25)</f>
        <v>-1200</v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tabSelected="1" workbookViewId="0">
      <selection activeCell="H37" sqref="H37"/>
    </sheetView>
  </sheetViews>
  <sheetFormatPr baseColWidth="10" defaultColWidth="8.88671875" defaultRowHeight="14.4" x14ac:dyDescent="0.3"/>
  <cols>
    <col min="1" max="1" width="35" customWidth="1"/>
    <col min="2" max="2" width="18" customWidth="1"/>
    <col min="3" max="3" width="21" customWidth="1"/>
    <col min="4" max="4" width="14" customWidth="1"/>
    <col min="5" max="5" width="11" customWidth="1"/>
    <col min="6" max="6" width="22" customWidth="1"/>
    <col min="7" max="7" width="19" customWidth="1"/>
    <col min="8" max="8" width="21" customWidth="1"/>
    <col min="9" max="9" width="16" customWidth="1"/>
    <col min="10" max="10" width="17" customWidth="1"/>
    <col min="11" max="11" width="20" customWidth="1"/>
    <col min="12" max="12" width="16" customWidth="1"/>
    <col min="13" max="13" width="17" customWidth="1"/>
    <col min="14" max="14" width="16" customWidth="1"/>
  </cols>
  <sheetData>
    <row r="1" spans="1:14" ht="15.6" x14ac:dyDescent="0.3">
      <c r="A1" s="17" t="s">
        <v>79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3">
      <c r="A3" s="1" t="s">
        <v>80</v>
      </c>
      <c r="B3" s="1" t="s">
        <v>1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87</v>
      </c>
      <c r="J3" s="1" t="s">
        <v>88</v>
      </c>
      <c r="K3" s="1" t="s">
        <v>89</v>
      </c>
      <c r="L3" s="1" t="s">
        <v>90</v>
      </c>
      <c r="M3" s="1" t="s">
        <v>91</v>
      </c>
      <c r="N3" s="1" t="s">
        <v>37</v>
      </c>
    </row>
    <row r="4" spans="1:14" x14ac:dyDescent="0.3">
      <c r="A4" s="2" t="s">
        <v>92</v>
      </c>
      <c r="B4" s="2" t="s">
        <v>93</v>
      </c>
      <c r="C4" s="2"/>
      <c r="D4" s="2">
        <v>1</v>
      </c>
      <c r="E4" s="2">
        <v>0</v>
      </c>
      <c r="F4" s="5">
        <v>250</v>
      </c>
      <c r="G4" s="5">
        <v>0</v>
      </c>
      <c r="H4" s="5">
        <v>200</v>
      </c>
      <c r="I4" s="5">
        <f t="shared" ref="I4:I35" si="0">F4+G4+H4</f>
        <v>450</v>
      </c>
      <c r="J4" s="5"/>
      <c r="K4" s="5"/>
      <c r="L4" s="5">
        <f t="shared" ref="L4:L35" si="1">J4+K4</f>
        <v>0</v>
      </c>
      <c r="M4" s="15"/>
      <c r="N4" s="5">
        <f t="shared" ref="N4:N35" si="2">L4-I4</f>
        <v>-450</v>
      </c>
    </row>
    <row r="5" spans="1:14" x14ac:dyDescent="0.3">
      <c r="A5" s="2" t="s">
        <v>94</v>
      </c>
      <c r="B5" s="2" t="s">
        <v>93</v>
      </c>
      <c r="C5" s="2"/>
      <c r="D5" s="2">
        <v>1</v>
      </c>
      <c r="E5" s="2">
        <v>0</v>
      </c>
      <c r="F5" s="5">
        <v>250</v>
      </c>
      <c r="G5" s="5">
        <v>0</v>
      </c>
      <c r="H5" s="5">
        <v>200</v>
      </c>
      <c r="I5" s="5">
        <f t="shared" si="0"/>
        <v>450</v>
      </c>
      <c r="J5" s="5"/>
      <c r="K5" s="5"/>
      <c r="L5" s="5">
        <f t="shared" si="1"/>
        <v>0</v>
      </c>
      <c r="M5" s="15"/>
      <c r="N5" s="5">
        <f t="shared" si="2"/>
        <v>-450</v>
      </c>
    </row>
    <row r="6" spans="1:14" x14ac:dyDescent="0.3">
      <c r="A6" s="2" t="s">
        <v>95</v>
      </c>
      <c r="B6" s="2" t="s">
        <v>93</v>
      </c>
      <c r="C6" s="2"/>
      <c r="D6" s="2">
        <v>1</v>
      </c>
      <c r="E6" s="2">
        <v>0</v>
      </c>
      <c r="F6" s="5">
        <v>250</v>
      </c>
      <c r="G6" s="5">
        <v>0</v>
      </c>
      <c r="H6" s="5">
        <v>200</v>
      </c>
      <c r="I6" s="5">
        <f t="shared" si="0"/>
        <v>450</v>
      </c>
      <c r="J6" s="5"/>
      <c r="K6" s="5"/>
      <c r="L6" s="5">
        <f t="shared" si="1"/>
        <v>0</v>
      </c>
      <c r="M6" s="15"/>
      <c r="N6" s="5">
        <f t="shared" si="2"/>
        <v>-450</v>
      </c>
    </row>
    <row r="7" spans="1:14" x14ac:dyDescent="0.3">
      <c r="A7" s="2" t="s">
        <v>96</v>
      </c>
      <c r="B7" s="2" t="s">
        <v>93</v>
      </c>
      <c r="C7" s="2"/>
      <c r="D7" s="2">
        <v>1</v>
      </c>
      <c r="E7" s="2">
        <v>0</v>
      </c>
      <c r="F7" s="5">
        <v>250</v>
      </c>
      <c r="G7" s="5">
        <v>0</v>
      </c>
      <c r="H7" s="5">
        <v>200</v>
      </c>
      <c r="I7" s="5">
        <f t="shared" si="0"/>
        <v>450</v>
      </c>
      <c r="J7" s="5"/>
      <c r="K7" s="5"/>
      <c r="L7" s="5">
        <f t="shared" si="1"/>
        <v>0</v>
      </c>
      <c r="M7" s="15"/>
      <c r="N7" s="5">
        <f t="shared" si="2"/>
        <v>-450</v>
      </c>
    </row>
    <row r="8" spans="1:14" x14ac:dyDescent="0.3">
      <c r="A8" s="2" t="s">
        <v>97</v>
      </c>
      <c r="B8" s="2" t="s">
        <v>93</v>
      </c>
      <c r="C8" s="2" t="s">
        <v>98</v>
      </c>
      <c r="D8" s="2">
        <v>0</v>
      </c>
      <c r="E8" s="2">
        <v>2</v>
      </c>
      <c r="F8" s="5">
        <v>0</v>
      </c>
      <c r="G8" s="5">
        <v>200</v>
      </c>
      <c r="H8" s="5">
        <v>200</v>
      </c>
      <c r="I8" s="5">
        <f t="shared" si="0"/>
        <v>400</v>
      </c>
      <c r="J8" s="5"/>
      <c r="K8" s="5"/>
      <c r="L8" s="5">
        <f t="shared" si="1"/>
        <v>0</v>
      </c>
      <c r="M8" s="15"/>
      <c r="N8" s="5">
        <f t="shared" si="2"/>
        <v>-400</v>
      </c>
    </row>
    <row r="9" spans="1:14" x14ac:dyDescent="0.3">
      <c r="A9" s="2" t="s">
        <v>99</v>
      </c>
      <c r="B9" s="2" t="s">
        <v>100</v>
      </c>
      <c r="C9" s="2"/>
      <c r="D9" s="2">
        <v>5</v>
      </c>
      <c r="E9" s="2">
        <v>0</v>
      </c>
      <c r="F9" s="5">
        <v>1250</v>
      </c>
      <c r="G9" s="5">
        <v>0</v>
      </c>
      <c r="H9" s="5">
        <v>1000</v>
      </c>
      <c r="I9" s="5">
        <f t="shared" si="0"/>
        <v>2250</v>
      </c>
      <c r="J9" s="5"/>
      <c r="K9" s="5"/>
      <c r="L9" s="5">
        <f t="shared" si="1"/>
        <v>0</v>
      </c>
      <c r="M9" s="15"/>
      <c r="N9" s="5">
        <f t="shared" si="2"/>
        <v>-2250</v>
      </c>
    </row>
    <row r="10" spans="1:14" x14ac:dyDescent="0.3">
      <c r="A10" s="2" t="s">
        <v>101</v>
      </c>
      <c r="B10" s="2" t="s">
        <v>100</v>
      </c>
      <c r="C10" s="2"/>
      <c r="D10" s="2">
        <v>3</v>
      </c>
      <c r="E10" s="2">
        <v>0</v>
      </c>
      <c r="F10" s="5">
        <v>750</v>
      </c>
      <c r="G10" s="5">
        <v>0</v>
      </c>
      <c r="H10" s="5">
        <v>600</v>
      </c>
      <c r="I10" s="5">
        <f t="shared" si="0"/>
        <v>1350</v>
      </c>
      <c r="J10" s="5"/>
      <c r="K10" s="5"/>
      <c r="L10" s="5">
        <f t="shared" si="1"/>
        <v>0</v>
      </c>
      <c r="M10" s="15"/>
      <c r="N10" s="5">
        <f t="shared" si="2"/>
        <v>-1350</v>
      </c>
    </row>
    <row r="11" spans="1:14" x14ac:dyDescent="0.3">
      <c r="A11" s="2" t="s">
        <v>102</v>
      </c>
      <c r="B11" s="2" t="s">
        <v>93</v>
      </c>
      <c r="C11" s="2" t="s">
        <v>98</v>
      </c>
      <c r="D11" s="2">
        <v>0</v>
      </c>
      <c r="E11" s="2">
        <v>2</v>
      </c>
      <c r="F11" s="5">
        <v>0</v>
      </c>
      <c r="G11" s="5">
        <v>0</v>
      </c>
      <c r="H11" s="5">
        <v>0</v>
      </c>
      <c r="I11" s="5">
        <f t="shared" si="0"/>
        <v>0</v>
      </c>
      <c r="J11" s="5"/>
      <c r="K11" s="5"/>
      <c r="L11" s="5">
        <f t="shared" si="1"/>
        <v>0</v>
      </c>
      <c r="M11" s="15"/>
      <c r="N11" s="5">
        <f t="shared" si="2"/>
        <v>0</v>
      </c>
    </row>
    <row r="12" spans="1:14" x14ac:dyDescent="0.3">
      <c r="A12" s="2" t="s">
        <v>103</v>
      </c>
      <c r="B12" s="2" t="s">
        <v>93</v>
      </c>
      <c r="C12" s="2"/>
      <c r="D12" s="2">
        <v>0</v>
      </c>
      <c r="E12" s="2">
        <v>0</v>
      </c>
      <c r="F12" s="5">
        <v>0</v>
      </c>
      <c r="G12" s="5">
        <v>0</v>
      </c>
      <c r="H12" s="5">
        <v>0</v>
      </c>
      <c r="I12" s="5">
        <f t="shared" si="0"/>
        <v>0</v>
      </c>
      <c r="J12" s="5"/>
      <c r="K12" s="5"/>
      <c r="L12" s="5">
        <f t="shared" si="1"/>
        <v>0</v>
      </c>
      <c r="M12" s="15"/>
      <c r="N12" s="5">
        <f t="shared" si="2"/>
        <v>0</v>
      </c>
    </row>
    <row r="13" spans="1:14" x14ac:dyDescent="0.3">
      <c r="A13" s="2" t="s">
        <v>104</v>
      </c>
      <c r="B13" s="2" t="s">
        <v>105</v>
      </c>
      <c r="C13" s="2" t="s">
        <v>106</v>
      </c>
      <c r="D13" s="2">
        <v>2</v>
      </c>
      <c r="E13" s="2">
        <v>2</v>
      </c>
      <c r="F13" s="5">
        <v>500</v>
      </c>
      <c r="G13" s="5">
        <v>200</v>
      </c>
      <c r="H13" s="5">
        <v>200</v>
      </c>
      <c r="I13" s="5">
        <f t="shared" si="0"/>
        <v>900</v>
      </c>
      <c r="J13" s="5"/>
      <c r="K13" s="5"/>
      <c r="L13" s="5">
        <f t="shared" si="1"/>
        <v>0</v>
      </c>
      <c r="M13" s="15"/>
      <c r="N13" s="5">
        <f t="shared" si="2"/>
        <v>-900</v>
      </c>
    </row>
    <row r="14" spans="1:14" x14ac:dyDescent="0.3">
      <c r="A14" s="2" t="s">
        <v>107</v>
      </c>
      <c r="B14" s="2" t="s">
        <v>105</v>
      </c>
      <c r="C14" s="2" t="s">
        <v>106</v>
      </c>
      <c r="D14" s="2">
        <v>2</v>
      </c>
      <c r="E14" s="2">
        <v>2</v>
      </c>
      <c r="F14" s="5">
        <v>500</v>
      </c>
      <c r="G14" s="5">
        <v>200</v>
      </c>
      <c r="H14" s="5">
        <v>200</v>
      </c>
      <c r="I14" s="5">
        <f t="shared" si="0"/>
        <v>900</v>
      </c>
      <c r="J14" s="5"/>
      <c r="K14" s="5"/>
      <c r="L14" s="5">
        <f t="shared" si="1"/>
        <v>0</v>
      </c>
      <c r="M14" s="15"/>
      <c r="N14" s="5">
        <f t="shared" si="2"/>
        <v>-900</v>
      </c>
    </row>
    <row r="15" spans="1:14" x14ac:dyDescent="0.3">
      <c r="A15" s="2" t="s">
        <v>108</v>
      </c>
      <c r="B15" s="2" t="s">
        <v>105</v>
      </c>
      <c r="C15" s="2" t="s">
        <v>106</v>
      </c>
      <c r="D15" s="2">
        <v>2</v>
      </c>
      <c r="E15" s="2">
        <v>2</v>
      </c>
      <c r="F15" s="5">
        <v>500</v>
      </c>
      <c r="G15" s="5">
        <v>200</v>
      </c>
      <c r="H15" s="5">
        <v>200</v>
      </c>
      <c r="I15" s="5">
        <f t="shared" si="0"/>
        <v>900</v>
      </c>
      <c r="J15" s="5"/>
      <c r="K15" s="5"/>
      <c r="L15" s="5">
        <f t="shared" si="1"/>
        <v>0</v>
      </c>
      <c r="M15" s="15"/>
      <c r="N15" s="5">
        <f t="shared" si="2"/>
        <v>-900</v>
      </c>
    </row>
    <row r="16" spans="1:14" x14ac:dyDescent="0.3">
      <c r="A16" s="2" t="s">
        <v>109</v>
      </c>
      <c r="B16" s="2" t="s">
        <v>105</v>
      </c>
      <c r="C16" s="2" t="s">
        <v>110</v>
      </c>
      <c r="D16" s="2">
        <v>4</v>
      </c>
      <c r="E16" s="2">
        <v>2</v>
      </c>
      <c r="F16" s="5">
        <v>1000</v>
      </c>
      <c r="G16" s="5">
        <v>200</v>
      </c>
      <c r="H16" s="5">
        <v>200</v>
      </c>
      <c r="I16" s="5">
        <f t="shared" si="0"/>
        <v>1400</v>
      </c>
      <c r="J16" s="5"/>
      <c r="K16" s="5"/>
      <c r="L16" s="5">
        <f t="shared" si="1"/>
        <v>0</v>
      </c>
      <c r="M16" s="15"/>
      <c r="N16" s="5">
        <f t="shared" si="2"/>
        <v>-1400</v>
      </c>
    </row>
    <row r="17" spans="1:14" x14ac:dyDescent="0.3">
      <c r="A17" s="2" t="s">
        <v>111</v>
      </c>
      <c r="B17" s="2" t="s">
        <v>112</v>
      </c>
      <c r="C17" s="2" t="s">
        <v>106</v>
      </c>
      <c r="D17" s="2">
        <v>0</v>
      </c>
      <c r="E17" s="2">
        <v>0</v>
      </c>
      <c r="F17" s="5">
        <v>0</v>
      </c>
      <c r="G17" s="5">
        <v>0</v>
      </c>
      <c r="H17" s="5">
        <v>0</v>
      </c>
      <c r="I17" s="5">
        <f t="shared" si="0"/>
        <v>0</v>
      </c>
      <c r="J17" s="5"/>
      <c r="K17" s="5"/>
      <c r="L17" s="5">
        <f t="shared" si="1"/>
        <v>0</v>
      </c>
      <c r="M17" s="15"/>
      <c r="N17" s="5">
        <f t="shared" si="2"/>
        <v>0</v>
      </c>
    </row>
    <row r="18" spans="1:14" x14ac:dyDescent="0.3">
      <c r="A18" s="2" t="s">
        <v>113</v>
      </c>
      <c r="B18" s="2" t="s">
        <v>114</v>
      </c>
      <c r="C18" s="2"/>
      <c r="D18" s="2">
        <v>2</v>
      </c>
      <c r="E18" s="2">
        <v>0</v>
      </c>
      <c r="F18" s="5">
        <v>500</v>
      </c>
      <c r="G18" s="5">
        <v>0</v>
      </c>
      <c r="H18" s="5">
        <v>200</v>
      </c>
      <c r="I18" s="5">
        <f t="shared" si="0"/>
        <v>700</v>
      </c>
      <c r="J18" s="5"/>
      <c r="K18" s="5"/>
      <c r="L18" s="5">
        <f t="shared" si="1"/>
        <v>0</v>
      </c>
      <c r="M18" s="15"/>
      <c r="N18" s="5">
        <f t="shared" si="2"/>
        <v>-700</v>
      </c>
    </row>
    <row r="19" spans="1:14" x14ac:dyDescent="0.3">
      <c r="A19" s="2" t="s">
        <v>115</v>
      </c>
      <c r="B19" s="2" t="s">
        <v>114</v>
      </c>
      <c r="C19" s="2"/>
      <c r="D19" s="2">
        <v>2</v>
      </c>
      <c r="E19" s="2">
        <v>0</v>
      </c>
      <c r="F19" s="5">
        <v>500</v>
      </c>
      <c r="G19" s="5">
        <v>0</v>
      </c>
      <c r="H19" s="5">
        <v>200</v>
      </c>
      <c r="I19" s="5">
        <f t="shared" si="0"/>
        <v>700</v>
      </c>
      <c r="J19" s="5"/>
      <c r="K19" s="5"/>
      <c r="L19" s="5">
        <f t="shared" si="1"/>
        <v>0</v>
      </c>
      <c r="M19" s="15"/>
      <c r="N19" s="5">
        <f t="shared" si="2"/>
        <v>-700</v>
      </c>
    </row>
    <row r="20" spans="1:14" x14ac:dyDescent="0.3">
      <c r="A20" s="2" t="s">
        <v>116</v>
      </c>
      <c r="B20" s="2" t="s">
        <v>114</v>
      </c>
      <c r="C20" s="2"/>
      <c r="D20" s="2">
        <v>2</v>
      </c>
      <c r="E20" s="2">
        <v>0</v>
      </c>
      <c r="F20" s="5">
        <v>500</v>
      </c>
      <c r="G20" s="5">
        <v>0</v>
      </c>
      <c r="H20" s="5">
        <v>200</v>
      </c>
      <c r="I20" s="5">
        <f t="shared" si="0"/>
        <v>700</v>
      </c>
      <c r="J20" s="5"/>
      <c r="K20" s="5"/>
      <c r="L20" s="5">
        <f t="shared" si="1"/>
        <v>0</v>
      </c>
      <c r="M20" s="15"/>
      <c r="N20" s="5">
        <f t="shared" si="2"/>
        <v>-700</v>
      </c>
    </row>
    <row r="21" spans="1:14" x14ac:dyDescent="0.3">
      <c r="A21" s="2" t="s">
        <v>117</v>
      </c>
      <c r="B21" s="2" t="s">
        <v>114</v>
      </c>
      <c r="C21" s="2"/>
      <c r="D21" s="2">
        <v>2</v>
      </c>
      <c r="E21" s="2">
        <v>0</v>
      </c>
      <c r="F21" s="5">
        <v>500</v>
      </c>
      <c r="G21" s="5">
        <v>0</v>
      </c>
      <c r="H21" s="5">
        <v>200</v>
      </c>
      <c r="I21" s="5">
        <f t="shared" si="0"/>
        <v>700</v>
      </c>
      <c r="J21" s="5"/>
      <c r="K21" s="5"/>
      <c r="L21" s="5">
        <f t="shared" si="1"/>
        <v>0</v>
      </c>
      <c r="M21" s="15"/>
      <c r="N21" s="5">
        <f t="shared" si="2"/>
        <v>-700</v>
      </c>
    </row>
    <row r="22" spans="1:14" x14ac:dyDescent="0.3">
      <c r="A22" s="2" t="s">
        <v>118</v>
      </c>
      <c r="B22" s="2" t="s">
        <v>114</v>
      </c>
      <c r="C22" s="2"/>
      <c r="D22" s="2">
        <v>2</v>
      </c>
      <c r="E22" s="2">
        <v>0</v>
      </c>
      <c r="F22" s="5">
        <v>500</v>
      </c>
      <c r="G22" s="5">
        <v>0</v>
      </c>
      <c r="H22" s="5">
        <v>200</v>
      </c>
      <c r="I22" s="5">
        <f t="shared" si="0"/>
        <v>700</v>
      </c>
      <c r="J22" s="5"/>
      <c r="K22" s="5"/>
      <c r="L22" s="5">
        <f t="shared" si="1"/>
        <v>0</v>
      </c>
      <c r="M22" s="15"/>
      <c r="N22" s="5">
        <f t="shared" si="2"/>
        <v>-700</v>
      </c>
    </row>
    <row r="23" spans="1:14" x14ac:dyDescent="0.3">
      <c r="A23" s="2" t="s">
        <v>119</v>
      </c>
      <c r="B23" s="2" t="s">
        <v>114</v>
      </c>
      <c r="C23" s="2"/>
      <c r="D23" s="2">
        <v>1</v>
      </c>
      <c r="E23" s="2">
        <v>0</v>
      </c>
      <c r="F23" s="5">
        <v>250</v>
      </c>
      <c r="G23" s="5">
        <v>0</v>
      </c>
      <c r="H23" s="5">
        <v>200</v>
      </c>
      <c r="I23" s="5">
        <f t="shared" si="0"/>
        <v>450</v>
      </c>
      <c r="J23" s="5"/>
      <c r="K23" s="5"/>
      <c r="L23" s="5">
        <f t="shared" si="1"/>
        <v>0</v>
      </c>
      <c r="M23" s="15"/>
      <c r="N23" s="5">
        <f t="shared" si="2"/>
        <v>-450</v>
      </c>
    </row>
    <row r="24" spans="1:14" x14ac:dyDescent="0.3">
      <c r="A24" s="2" t="s">
        <v>120</v>
      </c>
      <c r="B24" s="2" t="s">
        <v>121</v>
      </c>
      <c r="C24" s="2" t="s">
        <v>122</v>
      </c>
      <c r="D24" s="2">
        <v>0</v>
      </c>
      <c r="E24" s="2">
        <v>2</v>
      </c>
      <c r="F24" s="5">
        <v>0</v>
      </c>
      <c r="G24" s="5">
        <v>200</v>
      </c>
      <c r="H24" s="5">
        <v>200</v>
      </c>
      <c r="I24" s="5">
        <f t="shared" si="0"/>
        <v>400</v>
      </c>
      <c r="J24" s="5"/>
      <c r="K24" s="5"/>
      <c r="L24" s="5">
        <f t="shared" si="1"/>
        <v>0</v>
      </c>
      <c r="M24" s="15"/>
      <c r="N24" s="5">
        <f t="shared" si="2"/>
        <v>-400</v>
      </c>
    </row>
    <row r="25" spans="1:14" x14ac:dyDescent="0.3">
      <c r="A25" s="2" t="s">
        <v>123</v>
      </c>
      <c r="B25" s="2" t="s">
        <v>124</v>
      </c>
      <c r="C25" s="2"/>
      <c r="D25" s="2">
        <v>1</v>
      </c>
      <c r="E25" s="2">
        <v>0</v>
      </c>
      <c r="F25" s="5">
        <v>250</v>
      </c>
      <c r="G25" s="5">
        <v>0</v>
      </c>
      <c r="H25" s="5">
        <v>200</v>
      </c>
      <c r="I25" s="5">
        <f t="shared" si="0"/>
        <v>450</v>
      </c>
      <c r="J25" s="5"/>
      <c r="K25" s="5"/>
      <c r="L25" s="5">
        <f t="shared" si="1"/>
        <v>0</v>
      </c>
      <c r="M25" s="15"/>
      <c r="N25" s="5">
        <f t="shared" si="2"/>
        <v>-450</v>
      </c>
    </row>
    <row r="26" spans="1:14" x14ac:dyDescent="0.3">
      <c r="A26" s="2" t="s">
        <v>125</v>
      </c>
      <c r="B26" s="2" t="s">
        <v>124</v>
      </c>
      <c r="C26" s="2"/>
      <c r="D26" s="2">
        <v>1</v>
      </c>
      <c r="E26" s="2">
        <v>0</v>
      </c>
      <c r="F26" s="5">
        <v>250</v>
      </c>
      <c r="G26" s="5">
        <v>0</v>
      </c>
      <c r="H26" s="5">
        <v>200</v>
      </c>
      <c r="I26" s="5">
        <f t="shared" si="0"/>
        <v>450</v>
      </c>
      <c r="J26" s="5"/>
      <c r="K26" s="5"/>
      <c r="L26" s="5">
        <f t="shared" si="1"/>
        <v>0</v>
      </c>
      <c r="M26" s="15"/>
      <c r="N26" s="5">
        <f t="shared" si="2"/>
        <v>-450</v>
      </c>
    </row>
    <row r="27" spans="1:14" x14ac:dyDescent="0.3">
      <c r="A27" s="2" t="s">
        <v>126</v>
      </c>
      <c r="B27" s="2" t="s">
        <v>124</v>
      </c>
      <c r="C27" s="2"/>
      <c r="D27" s="2">
        <v>1</v>
      </c>
      <c r="E27" s="2">
        <v>0</v>
      </c>
      <c r="F27" s="5">
        <v>250</v>
      </c>
      <c r="G27" s="5">
        <v>0</v>
      </c>
      <c r="H27" s="5">
        <v>200</v>
      </c>
      <c r="I27" s="5">
        <f t="shared" si="0"/>
        <v>450</v>
      </c>
      <c r="J27" s="5"/>
      <c r="K27" s="5"/>
      <c r="L27" s="5">
        <f t="shared" si="1"/>
        <v>0</v>
      </c>
      <c r="M27" s="15"/>
      <c r="N27" s="5">
        <f t="shared" si="2"/>
        <v>-450</v>
      </c>
    </row>
    <row r="28" spans="1:14" x14ac:dyDescent="0.3">
      <c r="A28" s="2" t="s">
        <v>127</v>
      </c>
      <c r="B28" s="2" t="s">
        <v>121</v>
      </c>
      <c r="C28" s="2" t="s">
        <v>128</v>
      </c>
      <c r="D28" s="2">
        <v>0</v>
      </c>
      <c r="E28" s="2">
        <v>0</v>
      </c>
      <c r="F28" s="5">
        <v>0</v>
      </c>
      <c r="G28" s="5">
        <v>0</v>
      </c>
      <c r="H28" s="5">
        <v>0</v>
      </c>
      <c r="I28" s="5">
        <f t="shared" si="0"/>
        <v>0</v>
      </c>
      <c r="J28" s="5"/>
      <c r="K28" s="5"/>
      <c r="L28" s="5">
        <f t="shared" si="1"/>
        <v>0</v>
      </c>
      <c r="M28" s="15"/>
      <c r="N28" s="5">
        <f t="shared" si="2"/>
        <v>0</v>
      </c>
    </row>
    <row r="29" spans="1:14" x14ac:dyDescent="0.3">
      <c r="A29" s="2" t="s">
        <v>129</v>
      </c>
      <c r="B29" s="2" t="s">
        <v>130</v>
      </c>
      <c r="C29" s="2"/>
      <c r="D29" s="2">
        <v>4</v>
      </c>
      <c r="E29" s="2">
        <v>0</v>
      </c>
      <c r="F29" s="5">
        <v>1000</v>
      </c>
      <c r="G29" s="5">
        <v>0</v>
      </c>
      <c r="H29" s="5">
        <v>0</v>
      </c>
      <c r="I29" s="5">
        <f t="shared" si="0"/>
        <v>1000</v>
      </c>
      <c r="J29" s="5"/>
      <c r="K29" s="5"/>
      <c r="L29" s="5">
        <f t="shared" si="1"/>
        <v>0</v>
      </c>
      <c r="M29" s="15"/>
      <c r="N29" s="5">
        <f t="shared" si="2"/>
        <v>-1000</v>
      </c>
    </row>
    <row r="30" spans="1:14" x14ac:dyDescent="0.3">
      <c r="A30" s="2" t="s">
        <v>131</v>
      </c>
      <c r="B30" s="2" t="s">
        <v>130</v>
      </c>
      <c r="C30" s="2"/>
      <c r="D30" s="2">
        <v>4</v>
      </c>
      <c r="E30" s="2">
        <v>0</v>
      </c>
      <c r="F30" s="5">
        <v>1000</v>
      </c>
      <c r="G30" s="5">
        <v>0</v>
      </c>
      <c r="H30" s="5">
        <v>0</v>
      </c>
      <c r="I30" s="5">
        <f t="shared" si="0"/>
        <v>1000</v>
      </c>
      <c r="J30" s="5"/>
      <c r="K30" s="5"/>
      <c r="L30" s="5">
        <f t="shared" si="1"/>
        <v>0</v>
      </c>
      <c r="M30" s="15"/>
      <c r="N30" s="5">
        <f t="shared" si="2"/>
        <v>-1000</v>
      </c>
    </row>
    <row r="31" spans="1:14" x14ac:dyDescent="0.3">
      <c r="A31" s="2" t="s">
        <v>132</v>
      </c>
      <c r="B31" s="2" t="s">
        <v>130</v>
      </c>
      <c r="C31" s="2"/>
      <c r="D31" s="2">
        <v>4</v>
      </c>
      <c r="E31" s="2">
        <v>0</v>
      </c>
      <c r="F31" s="5">
        <v>1000</v>
      </c>
      <c r="G31" s="5">
        <v>0</v>
      </c>
      <c r="H31" s="5">
        <v>0</v>
      </c>
      <c r="I31" s="5">
        <f t="shared" si="0"/>
        <v>1000</v>
      </c>
      <c r="J31" s="5"/>
      <c r="K31" s="5"/>
      <c r="L31" s="5">
        <f t="shared" si="1"/>
        <v>0</v>
      </c>
      <c r="M31" s="15"/>
      <c r="N31" s="5">
        <f t="shared" si="2"/>
        <v>-1000</v>
      </c>
    </row>
    <row r="32" spans="1:14" x14ac:dyDescent="0.3">
      <c r="A32" s="2" t="s">
        <v>133</v>
      </c>
      <c r="B32" s="2" t="s">
        <v>130</v>
      </c>
      <c r="C32" s="2"/>
      <c r="D32" s="2">
        <v>4</v>
      </c>
      <c r="E32" s="2">
        <v>0</v>
      </c>
      <c r="F32" s="5">
        <v>1000</v>
      </c>
      <c r="G32" s="5">
        <v>0</v>
      </c>
      <c r="H32" s="5">
        <v>0</v>
      </c>
      <c r="I32" s="5">
        <f t="shared" si="0"/>
        <v>1000</v>
      </c>
      <c r="J32" s="5"/>
      <c r="K32" s="5"/>
      <c r="L32" s="5">
        <f t="shared" si="1"/>
        <v>0</v>
      </c>
      <c r="M32" s="15"/>
      <c r="N32" s="5">
        <f t="shared" si="2"/>
        <v>-1000</v>
      </c>
    </row>
    <row r="33" spans="1:14" x14ac:dyDescent="0.3">
      <c r="A33" s="2" t="s">
        <v>134</v>
      </c>
      <c r="B33" s="2" t="s">
        <v>135</v>
      </c>
      <c r="C33" s="2"/>
      <c r="D33" s="2">
        <v>2</v>
      </c>
      <c r="E33" s="2">
        <v>0</v>
      </c>
      <c r="F33" s="5">
        <v>500</v>
      </c>
      <c r="G33" s="5">
        <v>0</v>
      </c>
      <c r="H33" s="5">
        <v>400</v>
      </c>
      <c r="I33" s="5">
        <f t="shared" si="0"/>
        <v>900</v>
      </c>
      <c r="J33" s="5"/>
      <c r="K33" s="5"/>
      <c r="L33" s="5">
        <f t="shared" si="1"/>
        <v>0</v>
      </c>
      <c r="M33" s="15"/>
      <c r="N33" s="5">
        <f t="shared" si="2"/>
        <v>-900</v>
      </c>
    </row>
    <row r="34" spans="1:14" x14ac:dyDescent="0.3">
      <c r="A34" s="2" t="s">
        <v>136</v>
      </c>
      <c r="B34" s="2" t="s">
        <v>135</v>
      </c>
      <c r="C34" s="2"/>
      <c r="D34" s="2">
        <v>1</v>
      </c>
      <c r="E34" s="2">
        <v>0</v>
      </c>
      <c r="F34" s="5">
        <v>250</v>
      </c>
      <c r="G34" s="5">
        <v>0</v>
      </c>
      <c r="H34" s="5">
        <v>200</v>
      </c>
      <c r="I34" s="5">
        <f t="shared" si="0"/>
        <v>450</v>
      </c>
      <c r="J34" s="5"/>
      <c r="K34" s="5"/>
      <c r="L34" s="5">
        <f t="shared" si="1"/>
        <v>0</v>
      </c>
      <c r="M34" s="15"/>
      <c r="N34" s="5">
        <f t="shared" si="2"/>
        <v>-450</v>
      </c>
    </row>
    <row r="35" spans="1:14" x14ac:dyDescent="0.3">
      <c r="A35" s="2" t="s">
        <v>137</v>
      </c>
      <c r="B35" s="2" t="s">
        <v>138</v>
      </c>
      <c r="C35" s="2"/>
      <c r="D35" s="2">
        <v>3</v>
      </c>
      <c r="E35" s="2">
        <v>0</v>
      </c>
      <c r="F35" s="5">
        <v>750</v>
      </c>
      <c r="G35" s="5">
        <v>0</v>
      </c>
      <c r="H35" s="5">
        <v>600</v>
      </c>
      <c r="I35" s="5">
        <f t="shared" si="0"/>
        <v>1350</v>
      </c>
      <c r="J35" s="5"/>
      <c r="K35" s="5"/>
      <c r="L35" s="5">
        <f t="shared" si="1"/>
        <v>0</v>
      </c>
      <c r="M35" s="15"/>
      <c r="N35" s="5">
        <f t="shared" si="2"/>
        <v>-1350</v>
      </c>
    </row>
    <row r="37" spans="1:14" x14ac:dyDescent="0.3">
      <c r="A37" s="6" t="s">
        <v>139</v>
      </c>
      <c r="B37" s="6"/>
      <c r="C37" s="6"/>
      <c r="D37" s="6">
        <f>SUM(D4:D36)</f>
        <v>58</v>
      </c>
      <c r="E37" s="6">
        <f>SUM(E4:E36)</f>
        <v>14</v>
      </c>
      <c r="F37" s="7">
        <f t="shared" ref="F37:L37" si="3">SUM(F4:F35)</f>
        <v>14500</v>
      </c>
      <c r="G37" s="7">
        <f t="shared" si="3"/>
        <v>1200</v>
      </c>
      <c r="H37" s="7">
        <f t="shared" si="3"/>
        <v>6600</v>
      </c>
      <c r="I37" s="7">
        <f t="shared" si="3"/>
        <v>22300</v>
      </c>
      <c r="J37" s="7">
        <f t="shared" si="3"/>
        <v>0</v>
      </c>
      <c r="K37" s="7">
        <f t="shared" si="3"/>
        <v>0</v>
      </c>
      <c r="L37" s="7">
        <f t="shared" si="3"/>
        <v>0</v>
      </c>
      <c r="M37" s="6"/>
      <c r="N37" s="7">
        <f>SUM(N4:N35)</f>
        <v>-22300</v>
      </c>
    </row>
    <row r="41" spans="1:14" x14ac:dyDescent="0.3">
      <c r="I41" s="16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/>
  </sheetViews>
  <sheetFormatPr baseColWidth="10" defaultColWidth="8.88671875" defaultRowHeight="14.4" x14ac:dyDescent="0.3"/>
  <cols>
    <col min="1" max="1" width="25" customWidth="1"/>
    <col min="2" max="2" width="35" customWidth="1"/>
    <col min="3" max="5" width="16" customWidth="1"/>
  </cols>
  <sheetData>
    <row r="1" spans="1:5" ht="15.6" x14ac:dyDescent="0.3">
      <c r="A1" s="17" t="s">
        <v>140</v>
      </c>
      <c r="B1" s="18"/>
      <c r="C1" s="18"/>
      <c r="D1" s="18"/>
      <c r="E1" s="18"/>
    </row>
    <row r="3" spans="1:5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</row>
    <row r="4" spans="1:5" x14ac:dyDescent="0.3">
      <c r="A4" s="15"/>
      <c r="B4" s="2" t="s">
        <v>141</v>
      </c>
      <c r="C4" s="5">
        <v>3000</v>
      </c>
      <c r="D4" s="5"/>
      <c r="E4" s="5">
        <f t="shared" ref="E4:E16" si="0">D4-C4</f>
        <v>-3000</v>
      </c>
    </row>
    <row r="5" spans="1:5" x14ac:dyDescent="0.3">
      <c r="A5" s="15"/>
      <c r="B5" s="2" t="s">
        <v>142</v>
      </c>
      <c r="C5" s="5">
        <v>3000</v>
      </c>
      <c r="D5" s="5"/>
      <c r="E5" s="5">
        <f t="shared" si="0"/>
        <v>-3000</v>
      </c>
    </row>
    <row r="6" spans="1:5" x14ac:dyDescent="0.3">
      <c r="A6" s="15"/>
      <c r="B6" s="2" t="s">
        <v>143</v>
      </c>
      <c r="C6" s="5">
        <v>2000</v>
      </c>
      <c r="D6" s="5"/>
      <c r="E6" s="5">
        <f t="shared" si="0"/>
        <v>-2000</v>
      </c>
    </row>
    <row r="7" spans="1:5" x14ac:dyDescent="0.3">
      <c r="A7" s="15"/>
      <c r="B7" s="2" t="s">
        <v>144</v>
      </c>
      <c r="C7" s="5">
        <v>2000</v>
      </c>
      <c r="D7" s="5"/>
      <c r="E7" s="5">
        <f t="shared" si="0"/>
        <v>-2000</v>
      </c>
    </row>
    <row r="8" spans="1:5" x14ac:dyDescent="0.3">
      <c r="A8" s="15"/>
      <c r="B8" s="2" t="s">
        <v>145</v>
      </c>
      <c r="C8" s="5">
        <v>1500</v>
      </c>
      <c r="D8" s="5"/>
      <c r="E8" s="5">
        <f t="shared" si="0"/>
        <v>-1500</v>
      </c>
    </row>
    <row r="9" spans="1:5" x14ac:dyDescent="0.3">
      <c r="A9" s="15"/>
      <c r="B9" s="2" t="s">
        <v>146</v>
      </c>
      <c r="C9" s="5">
        <v>1500</v>
      </c>
      <c r="D9" s="5"/>
      <c r="E9" s="5">
        <f t="shared" si="0"/>
        <v>-1500</v>
      </c>
    </row>
    <row r="10" spans="1:5" x14ac:dyDescent="0.3">
      <c r="A10" s="15"/>
      <c r="B10" s="2" t="s">
        <v>147</v>
      </c>
      <c r="C10" s="5">
        <v>1000</v>
      </c>
      <c r="D10" s="5"/>
      <c r="E10" s="5">
        <f t="shared" si="0"/>
        <v>-1000</v>
      </c>
    </row>
    <row r="11" spans="1:5" x14ac:dyDescent="0.3">
      <c r="A11" s="15"/>
      <c r="B11" s="2" t="s">
        <v>148</v>
      </c>
      <c r="C11" s="5">
        <v>1000</v>
      </c>
      <c r="D11" s="5"/>
      <c r="E11" s="5">
        <f t="shared" si="0"/>
        <v>-1000</v>
      </c>
    </row>
    <row r="12" spans="1:5" x14ac:dyDescent="0.3">
      <c r="A12" s="15"/>
      <c r="B12" s="2"/>
      <c r="C12" s="5"/>
      <c r="D12" s="5"/>
      <c r="E12" s="5">
        <f t="shared" si="0"/>
        <v>0</v>
      </c>
    </row>
    <row r="13" spans="1:5" x14ac:dyDescent="0.3">
      <c r="A13" s="15"/>
      <c r="B13" s="2"/>
      <c r="C13" s="5"/>
      <c r="D13" s="5"/>
      <c r="E13" s="5">
        <f t="shared" si="0"/>
        <v>0</v>
      </c>
    </row>
    <row r="14" spans="1:5" x14ac:dyDescent="0.3">
      <c r="A14" s="15"/>
      <c r="B14" s="2"/>
      <c r="C14" s="5"/>
      <c r="D14" s="5"/>
      <c r="E14" s="5">
        <f t="shared" si="0"/>
        <v>0</v>
      </c>
    </row>
    <row r="15" spans="1:5" x14ac:dyDescent="0.3">
      <c r="A15" s="15"/>
      <c r="B15" s="2"/>
      <c r="C15" s="5"/>
      <c r="D15" s="5"/>
      <c r="E15" s="5">
        <f t="shared" si="0"/>
        <v>0</v>
      </c>
    </row>
    <row r="16" spans="1:5" x14ac:dyDescent="0.3">
      <c r="A16" s="15"/>
      <c r="B16" s="2"/>
      <c r="C16" s="5"/>
      <c r="D16" s="5"/>
      <c r="E16" s="5">
        <f t="shared" si="0"/>
        <v>0</v>
      </c>
    </row>
    <row r="18" spans="1:5" x14ac:dyDescent="0.3">
      <c r="A18" s="6" t="s">
        <v>149</v>
      </c>
      <c r="B18" s="6"/>
      <c r="C18" s="7">
        <f>SUM(C4:C16)</f>
        <v>15000</v>
      </c>
      <c r="D18" s="7">
        <f>SUM(D4:D16)</f>
        <v>0</v>
      </c>
      <c r="E18" s="7">
        <f>SUM(E4:E16)</f>
        <v>-15000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>
      <selection sqref="A1:F1"/>
    </sheetView>
  </sheetViews>
  <sheetFormatPr baseColWidth="10" defaultColWidth="8.88671875" defaultRowHeight="14.4" x14ac:dyDescent="0.3"/>
  <cols>
    <col min="1" max="2" width="35" customWidth="1"/>
    <col min="3" max="3" width="11" customWidth="1"/>
    <col min="4" max="6" width="17" customWidth="1"/>
  </cols>
  <sheetData>
    <row r="1" spans="1:6" ht="15.6" x14ac:dyDescent="0.3">
      <c r="A1" s="17" t="s">
        <v>150</v>
      </c>
      <c r="B1" s="18"/>
      <c r="C1" s="18"/>
      <c r="D1" s="18"/>
      <c r="E1" s="18"/>
      <c r="F1" s="18"/>
    </row>
    <row r="3" spans="1:6" ht="15.6" x14ac:dyDescent="0.3">
      <c r="A3" s="17" t="s">
        <v>151</v>
      </c>
      <c r="B3" s="18"/>
      <c r="C3" s="18"/>
      <c r="D3" s="18"/>
      <c r="E3" s="18"/>
      <c r="F3" s="18"/>
    </row>
    <row r="5" spans="1:6" x14ac:dyDescent="0.3">
      <c r="A5" s="1" t="s">
        <v>33</v>
      </c>
      <c r="B5" s="1" t="s">
        <v>34</v>
      </c>
      <c r="C5" s="1" t="s">
        <v>41</v>
      </c>
      <c r="D5" s="1" t="s">
        <v>35</v>
      </c>
      <c r="E5" s="1" t="s">
        <v>36</v>
      </c>
      <c r="F5" s="1" t="s">
        <v>37</v>
      </c>
    </row>
    <row r="6" spans="1:6" x14ac:dyDescent="0.3">
      <c r="A6" s="15"/>
      <c r="B6" s="2"/>
      <c r="C6" s="2"/>
      <c r="D6" s="5"/>
      <c r="E6" s="5"/>
      <c r="F6" s="5">
        <f>E6-D6</f>
        <v>0</v>
      </c>
    </row>
    <row r="7" spans="1:6" x14ac:dyDescent="0.3">
      <c r="A7" s="15"/>
      <c r="B7" s="2"/>
      <c r="C7" s="2"/>
      <c r="D7" s="5"/>
      <c r="E7" s="5"/>
      <c r="F7" s="5">
        <f>E7-D7</f>
        <v>0</v>
      </c>
    </row>
    <row r="8" spans="1:6" x14ac:dyDescent="0.3">
      <c r="A8" s="15"/>
      <c r="B8" s="2"/>
      <c r="C8" s="2"/>
      <c r="D8" s="5"/>
      <c r="E8" s="5"/>
      <c r="F8" s="5">
        <f>E8-D8</f>
        <v>0</v>
      </c>
    </row>
    <row r="9" spans="1:6" x14ac:dyDescent="0.3">
      <c r="A9" s="15"/>
      <c r="B9" s="2"/>
      <c r="C9" s="2"/>
      <c r="D9" s="5"/>
      <c r="E9" s="5"/>
      <c r="F9" s="5">
        <f>E9-D9</f>
        <v>0</v>
      </c>
    </row>
    <row r="10" spans="1:6" x14ac:dyDescent="0.3">
      <c r="A10" s="15"/>
      <c r="B10" s="2"/>
      <c r="C10" s="2"/>
      <c r="D10" s="5"/>
      <c r="E10" s="5"/>
      <c r="F10" s="5">
        <f>E10-D10</f>
        <v>0</v>
      </c>
    </row>
    <row r="12" spans="1:6" x14ac:dyDescent="0.3">
      <c r="A12" s="6" t="s">
        <v>152</v>
      </c>
      <c r="B12" s="6"/>
      <c r="C12" s="6"/>
      <c r="D12" s="7">
        <f>SUM(D6:D10)</f>
        <v>0</v>
      </c>
      <c r="E12" s="7">
        <f>SUM(E6:E10)</f>
        <v>0</v>
      </c>
      <c r="F12" s="7">
        <f>SUM(F6:F10)</f>
        <v>0</v>
      </c>
    </row>
    <row r="14" spans="1:6" ht="15.6" x14ac:dyDescent="0.3">
      <c r="A14" s="17" t="s">
        <v>153</v>
      </c>
      <c r="B14" s="18"/>
      <c r="C14" s="18"/>
      <c r="D14" s="18"/>
      <c r="E14" s="18"/>
      <c r="F14" s="18"/>
    </row>
    <row r="16" spans="1:6" x14ac:dyDescent="0.3">
      <c r="A16" s="1" t="s">
        <v>33</v>
      </c>
      <c r="B16" s="1" t="s">
        <v>34</v>
      </c>
      <c r="C16" s="1" t="s">
        <v>41</v>
      </c>
      <c r="D16" s="1" t="s">
        <v>35</v>
      </c>
      <c r="E16" s="1" t="s">
        <v>36</v>
      </c>
      <c r="F16" s="1" t="s">
        <v>37</v>
      </c>
    </row>
    <row r="17" spans="1:6" x14ac:dyDescent="0.3">
      <c r="A17" s="15"/>
      <c r="B17" s="2" t="s">
        <v>154</v>
      </c>
      <c r="C17" s="2" t="s">
        <v>62</v>
      </c>
      <c r="D17" s="5">
        <v>1993</v>
      </c>
      <c r="E17" s="5"/>
      <c r="F17" s="5">
        <f t="shared" ref="F17:F27" si="0">E17-D17</f>
        <v>-1993</v>
      </c>
    </row>
    <row r="18" spans="1:6" x14ac:dyDescent="0.3">
      <c r="A18" s="15"/>
      <c r="B18" s="2" t="s">
        <v>155</v>
      </c>
      <c r="C18" s="2" t="s">
        <v>62</v>
      </c>
      <c r="D18" s="5">
        <v>1427</v>
      </c>
      <c r="E18" s="5"/>
      <c r="F18" s="5">
        <f t="shared" si="0"/>
        <v>-1427</v>
      </c>
    </row>
    <row r="19" spans="1:6" x14ac:dyDescent="0.3">
      <c r="A19" s="15"/>
      <c r="B19" s="2" t="s">
        <v>156</v>
      </c>
      <c r="C19" s="2" t="s">
        <v>62</v>
      </c>
      <c r="D19" s="5">
        <v>1000</v>
      </c>
      <c r="E19" s="5"/>
      <c r="F19" s="5">
        <f t="shared" si="0"/>
        <v>-1000</v>
      </c>
    </row>
    <row r="20" spans="1:6" x14ac:dyDescent="0.3">
      <c r="A20" s="15"/>
      <c r="B20" s="2" t="s">
        <v>157</v>
      </c>
      <c r="C20" s="2" t="s">
        <v>62</v>
      </c>
      <c r="D20" s="5">
        <v>1000</v>
      </c>
      <c r="E20" s="5"/>
      <c r="F20" s="5">
        <f t="shared" si="0"/>
        <v>-1000</v>
      </c>
    </row>
    <row r="21" spans="1:6" x14ac:dyDescent="0.3">
      <c r="A21" s="15"/>
      <c r="B21" s="2" t="s">
        <v>158</v>
      </c>
      <c r="C21" s="2" t="s">
        <v>62</v>
      </c>
      <c r="D21" s="5">
        <v>500</v>
      </c>
      <c r="E21" s="5"/>
      <c r="F21" s="5">
        <f t="shared" si="0"/>
        <v>-500</v>
      </c>
    </row>
    <row r="22" spans="1:6" x14ac:dyDescent="0.3">
      <c r="A22" s="15"/>
      <c r="B22" s="2" t="s">
        <v>159</v>
      </c>
      <c r="C22" s="2" t="s">
        <v>62</v>
      </c>
      <c r="D22" s="5">
        <v>500</v>
      </c>
      <c r="E22" s="5"/>
      <c r="F22" s="5">
        <f t="shared" si="0"/>
        <v>-500</v>
      </c>
    </row>
    <row r="23" spans="1:6" x14ac:dyDescent="0.3">
      <c r="A23" s="15"/>
      <c r="B23" s="2"/>
      <c r="C23" s="2"/>
      <c r="D23" s="5"/>
      <c r="E23" s="5"/>
      <c r="F23" s="5">
        <f t="shared" si="0"/>
        <v>0</v>
      </c>
    </row>
    <row r="24" spans="1:6" x14ac:dyDescent="0.3">
      <c r="A24" s="15"/>
      <c r="B24" s="2"/>
      <c r="C24" s="2"/>
      <c r="D24" s="5"/>
      <c r="E24" s="5"/>
      <c r="F24" s="5">
        <f t="shared" si="0"/>
        <v>0</v>
      </c>
    </row>
    <row r="25" spans="1:6" x14ac:dyDescent="0.3">
      <c r="A25" s="15"/>
      <c r="B25" s="2"/>
      <c r="C25" s="2"/>
      <c r="D25" s="5"/>
      <c r="E25" s="5"/>
      <c r="F25" s="5">
        <f t="shared" si="0"/>
        <v>0</v>
      </c>
    </row>
    <row r="26" spans="1:6" x14ac:dyDescent="0.3">
      <c r="A26" s="15"/>
      <c r="B26" s="2"/>
      <c r="C26" s="2"/>
      <c r="D26" s="5"/>
      <c r="E26" s="5"/>
      <c r="F26" s="5">
        <f t="shared" si="0"/>
        <v>0</v>
      </c>
    </row>
    <row r="27" spans="1:6" x14ac:dyDescent="0.3">
      <c r="A27" s="15"/>
      <c r="B27" s="2"/>
      <c r="C27" s="2"/>
      <c r="D27" s="5"/>
      <c r="E27" s="5"/>
      <c r="F27" s="5">
        <f t="shared" si="0"/>
        <v>0</v>
      </c>
    </row>
    <row r="29" spans="1:6" x14ac:dyDescent="0.3">
      <c r="A29" s="6" t="s">
        <v>160</v>
      </c>
      <c r="B29" s="6"/>
      <c r="C29" s="6"/>
      <c r="D29" s="7">
        <f>SUM(D17:D27)</f>
        <v>6420</v>
      </c>
      <c r="E29" s="7">
        <f>SUM(E17:E27)</f>
        <v>0</v>
      </c>
      <c r="F29" s="7">
        <f>SUM(F17:F27)</f>
        <v>-6420</v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6"/>
  <sheetViews>
    <sheetView workbookViewId="0">
      <selection sqref="A1:F1"/>
    </sheetView>
  </sheetViews>
  <sheetFormatPr baseColWidth="10" defaultColWidth="8.88671875" defaultRowHeight="14.4" x14ac:dyDescent="0.3"/>
  <cols>
    <col min="1" max="1" width="30" customWidth="1"/>
    <col min="2" max="2" width="13" customWidth="1"/>
    <col min="3" max="3" width="15" customWidth="1"/>
    <col min="4" max="6" width="16" customWidth="1"/>
  </cols>
  <sheetData>
    <row r="1" spans="1:6" ht="15.6" x14ac:dyDescent="0.3">
      <c r="A1" s="17" t="s">
        <v>161</v>
      </c>
      <c r="B1" s="18"/>
      <c r="C1" s="18"/>
      <c r="D1" s="18"/>
      <c r="E1" s="18"/>
      <c r="F1" s="18"/>
    </row>
    <row r="3" spans="1:6" x14ac:dyDescent="0.3">
      <c r="A3" s="6" t="s">
        <v>162</v>
      </c>
      <c r="B3" s="6"/>
      <c r="C3" s="6"/>
      <c r="D3" s="7">
        <v>0</v>
      </c>
      <c r="E3" s="6"/>
      <c r="F3" s="7">
        <v>0</v>
      </c>
    </row>
    <row r="4" spans="1:6" x14ac:dyDescent="0.3">
      <c r="A4" s="1" t="s">
        <v>33</v>
      </c>
      <c r="B4" s="1" t="s">
        <v>1</v>
      </c>
      <c r="C4" s="1" t="s">
        <v>34</v>
      </c>
      <c r="D4" s="1" t="s">
        <v>163</v>
      </c>
      <c r="E4" s="1" t="s">
        <v>164</v>
      </c>
      <c r="F4" s="1" t="s">
        <v>165</v>
      </c>
    </row>
    <row r="5" spans="1:6" x14ac:dyDescent="0.3">
      <c r="A5" s="15"/>
      <c r="B5" s="2"/>
      <c r="C5" s="2"/>
      <c r="D5" s="5"/>
      <c r="E5" s="5"/>
      <c r="F5" s="5">
        <f>F3+D5-E5</f>
        <v>0</v>
      </c>
    </row>
    <row r="6" spans="1:6" x14ac:dyDescent="0.3">
      <c r="A6" s="15"/>
      <c r="B6" s="2"/>
      <c r="C6" s="2"/>
      <c r="D6" s="5"/>
      <c r="E6" s="5"/>
      <c r="F6" s="5">
        <f t="shared" ref="F6:F34" si="0">F5+D6-E6</f>
        <v>0</v>
      </c>
    </row>
    <row r="7" spans="1:6" x14ac:dyDescent="0.3">
      <c r="A7" s="15"/>
      <c r="B7" s="2"/>
      <c r="C7" s="2"/>
      <c r="D7" s="5"/>
      <c r="E7" s="5"/>
      <c r="F7" s="5">
        <f t="shared" si="0"/>
        <v>0</v>
      </c>
    </row>
    <row r="8" spans="1:6" x14ac:dyDescent="0.3">
      <c r="A8" s="15"/>
      <c r="B8" s="2"/>
      <c r="C8" s="2"/>
      <c r="D8" s="5"/>
      <c r="E8" s="5"/>
      <c r="F8" s="5">
        <f t="shared" si="0"/>
        <v>0</v>
      </c>
    </row>
    <row r="9" spans="1:6" x14ac:dyDescent="0.3">
      <c r="A9" s="15"/>
      <c r="B9" s="2"/>
      <c r="C9" s="2"/>
      <c r="D9" s="5"/>
      <c r="E9" s="5"/>
      <c r="F9" s="5">
        <f t="shared" si="0"/>
        <v>0</v>
      </c>
    </row>
    <row r="10" spans="1:6" x14ac:dyDescent="0.3">
      <c r="A10" s="15"/>
      <c r="B10" s="2"/>
      <c r="C10" s="2"/>
      <c r="D10" s="5"/>
      <c r="E10" s="5"/>
      <c r="F10" s="5">
        <f t="shared" si="0"/>
        <v>0</v>
      </c>
    </row>
    <row r="11" spans="1:6" x14ac:dyDescent="0.3">
      <c r="A11" s="15"/>
      <c r="B11" s="2"/>
      <c r="C11" s="2"/>
      <c r="D11" s="5"/>
      <c r="E11" s="5"/>
      <c r="F11" s="5">
        <f t="shared" si="0"/>
        <v>0</v>
      </c>
    </row>
    <row r="12" spans="1:6" x14ac:dyDescent="0.3">
      <c r="A12" s="15"/>
      <c r="B12" s="2"/>
      <c r="C12" s="2"/>
      <c r="D12" s="5"/>
      <c r="E12" s="5"/>
      <c r="F12" s="5">
        <f t="shared" si="0"/>
        <v>0</v>
      </c>
    </row>
    <row r="13" spans="1:6" x14ac:dyDescent="0.3">
      <c r="A13" s="15"/>
      <c r="B13" s="2"/>
      <c r="C13" s="2"/>
      <c r="D13" s="5"/>
      <c r="E13" s="5"/>
      <c r="F13" s="5">
        <f t="shared" si="0"/>
        <v>0</v>
      </c>
    </row>
    <row r="14" spans="1:6" x14ac:dyDescent="0.3">
      <c r="A14" s="15"/>
      <c r="B14" s="2"/>
      <c r="C14" s="2"/>
      <c r="D14" s="5"/>
      <c r="E14" s="5"/>
      <c r="F14" s="5">
        <f t="shared" si="0"/>
        <v>0</v>
      </c>
    </row>
    <row r="15" spans="1:6" x14ac:dyDescent="0.3">
      <c r="A15" s="15"/>
      <c r="B15" s="2"/>
      <c r="C15" s="2"/>
      <c r="D15" s="5"/>
      <c r="E15" s="5"/>
      <c r="F15" s="5">
        <f t="shared" si="0"/>
        <v>0</v>
      </c>
    </row>
    <row r="16" spans="1:6" x14ac:dyDescent="0.3">
      <c r="A16" s="15"/>
      <c r="B16" s="2"/>
      <c r="C16" s="2"/>
      <c r="D16" s="5"/>
      <c r="E16" s="5"/>
      <c r="F16" s="5">
        <f t="shared" si="0"/>
        <v>0</v>
      </c>
    </row>
    <row r="17" spans="1:6" x14ac:dyDescent="0.3">
      <c r="A17" s="15"/>
      <c r="B17" s="2"/>
      <c r="C17" s="2"/>
      <c r="D17" s="5"/>
      <c r="E17" s="5"/>
      <c r="F17" s="5">
        <f t="shared" si="0"/>
        <v>0</v>
      </c>
    </row>
    <row r="18" spans="1:6" x14ac:dyDescent="0.3">
      <c r="A18" s="15"/>
      <c r="B18" s="2"/>
      <c r="C18" s="2"/>
      <c r="D18" s="5"/>
      <c r="E18" s="5"/>
      <c r="F18" s="5">
        <f t="shared" si="0"/>
        <v>0</v>
      </c>
    </row>
    <row r="19" spans="1:6" x14ac:dyDescent="0.3">
      <c r="A19" s="15"/>
      <c r="B19" s="2"/>
      <c r="C19" s="2"/>
      <c r="D19" s="5"/>
      <c r="E19" s="5"/>
      <c r="F19" s="5">
        <f t="shared" si="0"/>
        <v>0</v>
      </c>
    </row>
    <row r="20" spans="1:6" x14ac:dyDescent="0.3">
      <c r="A20" s="15"/>
      <c r="B20" s="2"/>
      <c r="C20" s="2"/>
      <c r="D20" s="5"/>
      <c r="E20" s="5"/>
      <c r="F20" s="5">
        <f t="shared" si="0"/>
        <v>0</v>
      </c>
    </row>
    <row r="21" spans="1:6" x14ac:dyDescent="0.3">
      <c r="A21" s="15"/>
      <c r="B21" s="2"/>
      <c r="C21" s="2"/>
      <c r="D21" s="5"/>
      <c r="E21" s="5"/>
      <c r="F21" s="5">
        <f t="shared" si="0"/>
        <v>0</v>
      </c>
    </row>
    <row r="22" spans="1:6" x14ac:dyDescent="0.3">
      <c r="A22" s="15"/>
      <c r="B22" s="2"/>
      <c r="C22" s="2"/>
      <c r="D22" s="5"/>
      <c r="E22" s="5"/>
      <c r="F22" s="5">
        <f t="shared" si="0"/>
        <v>0</v>
      </c>
    </row>
    <row r="23" spans="1:6" x14ac:dyDescent="0.3">
      <c r="A23" s="15"/>
      <c r="B23" s="2"/>
      <c r="C23" s="2"/>
      <c r="D23" s="5"/>
      <c r="E23" s="5"/>
      <c r="F23" s="5">
        <f t="shared" si="0"/>
        <v>0</v>
      </c>
    </row>
    <row r="24" spans="1:6" x14ac:dyDescent="0.3">
      <c r="A24" s="15"/>
      <c r="B24" s="2"/>
      <c r="C24" s="2"/>
      <c r="D24" s="5"/>
      <c r="E24" s="5"/>
      <c r="F24" s="5">
        <f t="shared" si="0"/>
        <v>0</v>
      </c>
    </row>
    <row r="25" spans="1:6" x14ac:dyDescent="0.3">
      <c r="A25" s="15"/>
      <c r="B25" s="2"/>
      <c r="C25" s="2"/>
      <c r="D25" s="5"/>
      <c r="E25" s="5"/>
      <c r="F25" s="5">
        <f t="shared" si="0"/>
        <v>0</v>
      </c>
    </row>
    <row r="26" spans="1:6" x14ac:dyDescent="0.3">
      <c r="A26" s="15"/>
      <c r="B26" s="2"/>
      <c r="C26" s="2"/>
      <c r="D26" s="5"/>
      <c r="E26" s="5"/>
      <c r="F26" s="5">
        <f t="shared" si="0"/>
        <v>0</v>
      </c>
    </row>
    <row r="27" spans="1:6" x14ac:dyDescent="0.3">
      <c r="A27" s="15"/>
      <c r="B27" s="2"/>
      <c r="C27" s="2"/>
      <c r="D27" s="5"/>
      <c r="E27" s="5"/>
      <c r="F27" s="5">
        <f t="shared" si="0"/>
        <v>0</v>
      </c>
    </row>
    <row r="28" spans="1:6" x14ac:dyDescent="0.3">
      <c r="A28" s="15"/>
      <c r="B28" s="2"/>
      <c r="C28" s="2"/>
      <c r="D28" s="5"/>
      <c r="E28" s="5"/>
      <c r="F28" s="5">
        <f t="shared" si="0"/>
        <v>0</v>
      </c>
    </row>
    <row r="29" spans="1:6" x14ac:dyDescent="0.3">
      <c r="A29" s="15"/>
      <c r="B29" s="2"/>
      <c r="C29" s="2"/>
      <c r="D29" s="5"/>
      <c r="E29" s="5"/>
      <c r="F29" s="5">
        <f t="shared" si="0"/>
        <v>0</v>
      </c>
    </row>
    <row r="30" spans="1:6" x14ac:dyDescent="0.3">
      <c r="A30" s="15"/>
      <c r="B30" s="2"/>
      <c r="C30" s="2"/>
      <c r="D30" s="5"/>
      <c r="E30" s="5"/>
      <c r="F30" s="5">
        <f t="shared" si="0"/>
        <v>0</v>
      </c>
    </row>
    <row r="31" spans="1:6" x14ac:dyDescent="0.3">
      <c r="A31" s="15"/>
      <c r="B31" s="2"/>
      <c r="C31" s="2"/>
      <c r="D31" s="5"/>
      <c r="E31" s="5"/>
      <c r="F31" s="5">
        <f t="shared" si="0"/>
        <v>0</v>
      </c>
    </row>
    <row r="32" spans="1:6" x14ac:dyDescent="0.3">
      <c r="A32" s="15"/>
      <c r="B32" s="2"/>
      <c r="C32" s="2"/>
      <c r="D32" s="5"/>
      <c r="E32" s="5"/>
      <c r="F32" s="5">
        <f t="shared" si="0"/>
        <v>0</v>
      </c>
    </row>
    <row r="33" spans="1:6" x14ac:dyDescent="0.3">
      <c r="A33" s="15"/>
      <c r="B33" s="2"/>
      <c r="C33" s="2"/>
      <c r="D33" s="5"/>
      <c r="E33" s="5"/>
      <c r="F33" s="5">
        <f t="shared" si="0"/>
        <v>0</v>
      </c>
    </row>
    <row r="34" spans="1:6" x14ac:dyDescent="0.3">
      <c r="A34" s="15"/>
      <c r="B34" s="2"/>
      <c r="C34" s="2"/>
      <c r="D34" s="5"/>
      <c r="E34" s="5"/>
      <c r="F34" s="5">
        <f t="shared" si="0"/>
        <v>0</v>
      </c>
    </row>
    <row r="36" spans="1:6" x14ac:dyDescent="0.3">
      <c r="A36" s="6" t="s">
        <v>166</v>
      </c>
      <c r="B36" s="6"/>
      <c r="C36" s="6"/>
      <c r="D36" s="7">
        <f>SUM(D5:D34)</f>
        <v>0</v>
      </c>
      <c r="E36" s="7">
        <f>SUM(E5:E34)</f>
        <v>0</v>
      </c>
      <c r="F36" s="7">
        <f>F34</f>
        <v>0</v>
      </c>
    </row>
  </sheetData>
  <mergeCells count="1">
    <mergeCell ref="A1:F1"/>
  </mergeCells>
  <dataValidations count="1">
    <dataValidation type="list" error="Choisir une catégorie" sqref="B5:B34" xr:uid="{00000000-0002-0000-0800-000000000000}">
      <formula1>"Crowdfunding,Billetterie,F&amp;B,Ateliers,Artistes,Logistique,Frais divers"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Synthèse</vt:lpstr>
      <vt:lpstr>Crowdfunding</vt:lpstr>
      <vt:lpstr>Billetterie</vt:lpstr>
      <vt:lpstr>F&amp;B</vt:lpstr>
      <vt:lpstr>Ateliers</vt:lpstr>
      <vt:lpstr>Artistes</vt:lpstr>
      <vt:lpstr>Logistique</vt:lpstr>
      <vt:lpstr>Frais divers</vt:lpstr>
      <vt:lpstr>Trésorerie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JANIER DUBRY</cp:lastModifiedBy>
  <dcterms:created xsi:type="dcterms:W3CDTF">2026-04-04T15:53:24Z</dcterms:created>
  <dcterms:modified xsi:type="dcterms:W3CDTF">2026-05-01T14:40:33Z</dcterms:modified>
</cp:coreProperties>
</file>